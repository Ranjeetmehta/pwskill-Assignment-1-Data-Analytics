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F:\DATA ANALAYST\Assignment\"/>
    </mc:Choice>
  </mc:AlternateContent>
  <xr:revisionPtr revIDLastSave="0" documentId="13_ncr:1_{4BA6D1F9-66DC-4C1D-9304-B23D080B3CD1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Q1 ans" sheetId="2" r:id="rId1"/>
    <sheet name="Q2 ans" sheetId="3" r:id="rId2"/>
    <sheet name="Q3 ans " sheetId="4" r:id="rId3"/>
    <sheet name="Q4 Answ" sheetId="5" r:id="rId4"/>
    <sheet name="Q5 ans" sheetId="6" r:id="rId5"/>
    <sheet name="Q6 ans" sheetId="9" r:id="rId6"/>
    <sheet name="Q7 answ" sheetId="10" r:id="rId7"/>
    <sheet name="Q8 ans" sheetId="12" r:id="rId8"/>
  </sheets>
  <definedNames>
    <definedName name="_xlnm._FilterDatabase" localSheetId="6" hidden="1">'Q7 answ'!$C$58:$C$107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2" i="10" l="1"/>
  <c r="D61" i="10"/>
  <c r="D60" i="10"/>
  <c r="D59" i="10"/>
  <c r="D58" i="10"/>
  <c r="J2" i="9"/>
  <c r="J3" i="9"/>
  <c r="J4" i="9"/>
  <c r="J5" i="9"/>
  <c r="J6" i="9"/>
  <c r="M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35" i="9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I51" i="12"/>
  <c r="I50" i="12"/>
  <c r="I49" i="12"/>
  <c r="I48" i="12"/>
  <c r="I47" i="12"/>
  <c r="I46" i="12"/>
  <c r="I45" i="12"/>
  <c r="I44" i="12"/>
  <c r="I43" i="12"/>
  <c r="I42" i="12"/>
  <c r="I41" i="12"/>
  <c r="I40" i="12"/>
  <c r="I39" i="12"/>
  <c r="I38" i="12"/>
  <c r="I37" i="12"/>
  <c r="I36" i="12"/>
  <c r="I35" i="12"/>
  <c r="I34" i="12"/>
  <c r="I33" i="12"/>
  <c r="I32" i="12"/>
  <c r="I31" i="12"/>
  <c r="I30" i="12"/>
  <c r="I29" i="12"/>
  <c r="I28" i="12"/>
  <c r="I27" i="12"/>
  <c r="I26" i="12"/>
  <c r="I25" i="12"/>
  <c r="I24" i="12"/>
  <c r="I23" i="12"/>
  <c r="I22" i="12"/>
  <c r="I21" i="12"/>
  <c r="I20" i="12"/>
  <c r="I19" i="12"/>
  <c r="I18" i="12"/>
  <c r="I17" i="12"/>
  <c r="I16" i="12"/>
  <c r="I15" i="12"/>
  <c r="I14" i="12"/>
  <c r="I13" i="12"/>
  <c r="I12" i="12"/>
  <c r="I11" i="12"/>
  <c r="I10" i="12"/>
  <c r="I9" i="12"/>
  <c r="I8" i="12"/>
  <c r="I7" i="12"/>
  <c r="I6" i="12"/>
  <c r="I5" i="12"/>
  <c r="I4" i="12"/>
  <c r="I3" i="12"/>
  <c r="I2" i="12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J30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2" i="6"/>
  <c r="M9" i="5"/>
  <c r="D13" i="4"/>
  <c r="D13" i="3"/>
</calcChain>
</file>

<file path=xl/sharedStrings.xml><?xml version="1.0" encoding="utf-8"?>
<sst xmlns="http://schemas.openxmlformats.org/spreadsheetml/2006/main" count="984" uniqueCount="148">
  <si>
    <t>OrderID</t>
  </si>
  <si>
    <t>CustomerName</t>
  </si>
  <si>
    <t>Region</t>
  </si>
  <si>
    <t>Product</t>
  </si>
  <si>
    <t>Quantity</t>
  </si>
  <si>
    <t>UnitPrice</t>
  </si>
  <si>
    <t>OrderDate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</si>
  <si>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</si>
  <si>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</si>
  <si>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</si>
  <si>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</si>
  <si>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</si>
  <si>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</si>
  <si>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</si>
  <si>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</si>
  <si>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</si>
  <si>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</si>
  <si>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</si>
  <si>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</si>
  <si>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</si>
  <si>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</si>
  <si>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</si>
  <si>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</si>
  <si>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</si>
  <si>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</si>
  <si>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</si>
  <si>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</si>
  <si>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</si>
  <si>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</si>
  <si>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</si>
  <si>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</si>
  <si>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</si>
  <si>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</si>
  <si>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</si>
  <si>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</si>
  <si>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</si>
  <si>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</si>
  <si>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</si>
  <si>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</si>
  <si>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</si>
  <si>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</si>
  <si>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</si>
  <si>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</si>
  <si>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</si>
  <si>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</si>
  <si>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</si>
  <si>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</si>
  <si>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</si>
  <si>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</si>
  <si>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</si>
  <si>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</si>
  <si>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</si>
  <si>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</si>
  <si>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</si>
  <si>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</si>
  <si>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</si>
  <si>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</si>
  <si>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</si>
  <si>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</si>
  <si>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</si>
  <si>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</si>
  <si>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</si>
  <si>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</si>
  <si>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</si>
  <si>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</si>
  <si>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</si>
  <si>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</si>
  <si>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</si>
  <si>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</si>
  <si>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</si>
  <si>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</si>
  <si>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</si>
  <si>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</si>
  <si>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</si>
  <si>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</si>
  <si>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</si>
  <si>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</si>
  <si>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</si>
  <si>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</si>
  <si>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</si>
  <si>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</si>
  <si>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</si>
  <si>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</si>
  <si>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</si>
  <si>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</si>
  <si>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</si>
  <si>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</si>
  <si>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</si>
  <si>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</si>
  <si>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</si>
  <si>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</si>
  <si>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Explain the difference between Relative , Absolute and Mixed Cell Referencing.</t>
  </si>
  <si>
    <t xml:space="preserve"> Relative</t>
  </si>
  <si>
    <t>Absolute</t>
  </si>
  <si>
    <t>Mixed Cell Referencing</t>
  </si>
  <si>
    <t>1 In the Relative it automatically changes when copied to another cell.</t>
  </si>
  <si>
    <t>OR</t>
  </si>
  <si>
    <t>In relative References changes based on where you copy the formula.</t>
  </si>
  <si>
    <t>example-If you copy =A1 from B1 to B2, it becomes =A2</t>
  </si>
  <si>
    <t>1.In Absolute Reference Remains fixed no matter where you copy the formula .</t>
  </si>
  <si>
    <t xml:space="preserve"> </t>
  </si>
  <si>
    <t>example-K5*$D$1  - only K5 changes $D$1 remains unchanged.</t>
  </si>
  <si>
    <t>Use- for fixed values like tax rates, conversion factors, constants.</t>
  </si>
  <si>
    <t>1.mixed of Relative and Absolute References.</t>
  </si>
  <si>
    <t>example.-$D5 column D fixed row changes.  D3$ Row3 fixed column changes</t>
  </si>
  <si>
    <t>uses-multiflying across both rows and columns.</t>
  </si>
  <si>
    <t>Uses-very easy to drag (repeat)calculation of rows and columns.</t>
  </si>
  <si>
    <t>Q1-</t>
  </si>
  <si>
    <t>ANSWER 1</t>
  </si>
  <si>
    <t>Write a formula to calculate the total sales of Car and Bicyle only only.</t>
  </si>
  <si>
    <t>Using the data below, write a formula to calculate the average sales of items priced above 100 but less than 300:</t>
  </si>
  <si>
    <t>Amit SharmaB2:B50</t>
  </si>
  <si>
    <t>ANS-</t>
  </si>
  <si>
    <t>Vehicle</t>
  </si>
  <si>
    <t>Price</t>
  </si>
  <si>
    <t>Car</t>
  </si>
  <si>
    <t>Auto-Rickshaw</t>
  </si>
  <si>
    <t>Bicycle</t>
  </si>
  <si>
    <t>Ans</t>
  </si>
  <si>
    <t>the total sales of Car and Bicyle</t>
  </si>
  <si>
    <t>Formula=sum(car+Bicycle)    or  =sum(C6:C7)</t>
  </si>
  <si>
    <t>Item</t>
  </si>
  <si>
    <t>Sales</t>
  </si>
  <si>
    <t>Item A</t>
  </si>
  <si>
    <t>Item B</t>
  </si>
  <si>
    <t>Item C</t>
  </si>
  <si>
    <t>formula =AVERAGEIFS(C7:C9,B7:B9,"&gt;100",B7:B9,"&lt;300)</t>
  </si>
  <si>
    <t>Count how many customers name are recorded.</t>
  </si>
  <si>
    <t>Q 4</t>
  </si>
  <si>
    <t>Formula=COUNTA(B2:B51)</t>
  </si>
  <si>
    <t>CUSTOMER ARE RECORDED</t>
  </si>
  <si>
    <t>Calculate the Total sales for each row using a formula</t>
  </si>
  <si>
    <t>TOTAL SALES</t>
  </si>
  <si>
    <t>ans-</t>
  </si>
  <si>
    <t>Q 5</t>
  </si>
  <si>
    <t>Calculate the Total sales of Notebook in the North region Only.</t>
  </si>
  <si>
    <t>Q 6</t>
  </si>
  <si>
    <t>Formula=SUMIFS(J2:J51,D2:D51,"Notebook",C2:C51,"North")</t>
  </si>
  <si>
    <t>Answer-</t>
  </si>
  <si>
    <t>Q 7</t>
  </si>
  <si>
    <t>Create a column charts showing total sales by products.</t>
  </si>
  <si>
    <t>Insert a line chart showing daily sales trends</t>
  </si>
  <si>
    <t xml:space="preserve"> Q 3</t>
  </si>
  <si>
    <t>ANS</t>
  </si>
  <si>
    <t>Q 8</t>
  </si>
  <si>
    <t>Assignment  1 Basic excel (Solution)</t>
  </si>
  <si>
    <t>Products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</si>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</sst>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28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5" tint="-0.499984740745262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26"/>
      <color theme="4" tint="-0.499984740745262"/>
      <name val="Arial"/>
      <family val="2"/>
      <scheme val="minor"/>
    </font>
    <font>
      <b/>
      <i/>
      <u/>
      <sz val="10"/>
      <color theme="5"/>
      <name val="Arial"/>
      <family val="2"/>
      <scheme val="minor"/>
    </font>
    <font>
      <b/>
      <i/>
      <u/>
      <sz val="10"/>
      <color theme="5" tint="-0.249977111117893"/>
      <name val="Arial"/>
      <family val="2"/>
      <scheme val="minor"/>
    </font>
    <font>
      <sz val="72"/>
      <color rgb="FF0070C0"/>
      <name val="Arial"/>
      <family val="2"/>
      <scheme val="minor"/>
    </font>
    <font>
      <sz val="10"/>
      <color rgb="FF0070C0"/>
      <name val="Arial"/>
      <family val="2"/>
      <scheme val="minor"/>
    </font>
    <font>
      <sz val="22"/>
      <color theme="1" tint="4.9989318521683403E-2"/>
      <name val="Arial"/>
      <family val="2"/>
      <scheme val="minor"/>
    </font>
    <font>
      <sz val="18"/>
      <color rgb="FF000000"/>
      <name val="Arial"/>
      <family val="2"/>
      <scheme val="minor"/>
    </font>
    <font>
      <b/>
      <sz val="20"/>
      <color rgb="FFFF0000"/>
      <name val="Arial"/>
      <family val="2"/>
      <scheme val="minor"/>
    </font>
    <font>
      <b/>
      <sz val="22"/>
      <color theme="1" tint="4.9989318521683403E-2"/>
      <name val="Arial"/>
      <family val="2"/>
      <scheme val="minor"/>
    </font>
    <font>
      <b/>
      <sz val="22"/>
      <color rgb="FF000000"/>
      <name val="Arial"/>
      <family val="2"/>
      <scheme val="minor"/>
    </font>
    <font>
      <sz val="20"/>
      <color rgb="FF000000"/>
      <name val="Arial"/>
      <family val="2"/>
      <scheme val="minor"/>
    </font>
    <font>
      <b/>
      <u/>
      <sz val="10"/>
      <color rgb="FF000000"/>
      <name val="Arial"/>
      <family val="2"/>
      <scheme val="minor"/>
    </font>
    <font>
      <b/>
      <u/>
      <sz val="10"/>
      <color theme="5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22"/>
      <color theme="8"/>
      <name val="Arial"/>
      <family val="2"/>
      <scheme val="minor"/>
    </font>
    <font>
      <b/>
      <sz val="10"/>
      <color theme="5"/>
      <name val="Arial"/>
      <family val="2"/>
      <scheme val="minor"/>
    </font>
    <font>
      <b/>
      <sz val="16"/>
      <color rgb="FF000000"/>
      <name val="Calibri"/>
      <family val="2"/>
    </font>
    <font>
      <i/>
      <sz val="16"/>
      <color rgb="FF000000"/>
      <name val="Calibri"/>
      <family val="2"/>
    </font>
    <font>
      <sz val="14"/>
      <color theme="5"/>
      <name val="Arial"/>
      <family val="2"/>
      <scheme val="minor"/>
    </font>
    <font>
      <b/>
      <sz val="20"/>
      <color theme="8" tint="-0.499984740745262"/>
      <name val="Arial"/>
      <family val="2"/>
      <scheme val="minor"/>
    </font>
    <font>
      <sz val="8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0" fontId="0" fillId="0" borderId="3" xfId="0" applyBorder="1"/>
    <xf numFmtId="0" fontId="0" fillId="0" borderId="8" xfId="0" applyBorder="1"/>
    <xf numFmtId="0" fontId="6" fillId="0" borderId="0" xfId="0" applyFont="1"/>
    <xf numFmtId="0" fontId="7" fillId="0" borderId="0" xfId="0" applyFont="1"/>
    <xf numFmtId="0" fontId="4" fillId="2" borderId="2" xfId="0" applyFont="1" applyFill="1" applyBorder="1"/>
    <xf numFmtId="0" fontId="0" fillId="2" borderId="3" xfId="0" applyFill="1" applyBorder="1"/>
    <xf numFmtId="0" fontId="4" fillId="2" borderId="4" xfId="0" applyFont="1" applyFill="1" applyBorder="1"/>
    <xf numFmtId="0" fontId="0" fillId="2" borderId="0" xfId="0" applyFill="1"/>
    <xf numFmtId="0" fontId="0" fillId="2" borderId="5" xfId="0" applyFill="1" applyBorder="1"/>
    <xf numFmtId="0" fontId="0" fillId="2" borderId="4" xfId="0" applyFill="1" applyBorder="1"/>
    <xf numFmtId="0" fontId="4" fillId="2" borderId="6" xfId="0" applyFont="1" applyFill="1" applyBorder="1"/>
    <xf numFmtId="0" fontId="0" fillId="2" borderId="9" xfId="0" applyFill="1" applyBorder="1"/>
    <xf numFmtId="0" fontId="0" fillId="2" borderId="7" xfId="0" applyFill="1" applyBorder="1"/>
    <xf numFmtId="0" fontId="4" fillId="2" borderId="5" xfId="0" applyFont="1" applyFill="1" applyBorder="1"/>
    <xf numFmtId="0" fontId="0" fillId="2" borderId="6" xfId="0" applyFill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5" fillId="0" borderId="0" xfId="0" applyFont="1"/>
    <xf numFmtId="0" fontId="14" fillId="0" borderId="0" xfId="0" applyFont="1"/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7" fillId="0" borderId="11" xfId="0" applyFont="1" applyBorder="1"/>
    <xf numFmtId="0" fontId="17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19" fillId="0" borderId="0" xfId="0" applyFont="1"/>
    <xf numFmtId="0" fontId="20" fillId="0" borderId="10" xfId="0" applyFont="1" applyBorder="1" applyAlignment="1">
      <alignment horizontal="center"/>
    </xf>
    <xf numFmtId="0" fontId="22" fillId="3" borderId="0" xfId="0" applyFont="1" applyFill="1"/>
    <xf numFmtId="0" fontId="17" fillId="0" borderId="0" xfId="0" applyFont="1" applyAlignment="1">
      <alignment horizontal="left"/>
    </xf>
    <xf numFmtId="0" fontId="0" fillId="3" borderId="0" xfId="0" applyFill="1"/>
    <xf numFmtId="0" fontId="23" fillId="0" borderId="0" xfId="0" applyFont="1"/>
    <xf numFmtId="0" fontId="24" fillId="0" borderId="0" xfId="0" applyFont="1" applyAlignment="1">
      <alignment vertical="top"/>
    </xf>
    <xf numFmtId="0" fontId="18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25" fillId="4" borderId="0" xfId="0" applyFont="1" applyFill="1"/>
    <xf numFmtId="0" fontId="0" fillId="5" borderId="0" xfId="0" applyFill="1"/>
    <xf numFmtId="0" fontId="5" fillId="3" borderId="0" xfId="0" applyFont="1" applyFill="1"/>
    <xf numFmtId="0" fontId="17" fillId="5" borderId="0" xfId="0" applyFont="1" applyFill="1" applyAlignment="1">
      <alignment horizontal="left"/>
    </xf>
    <xf numFmtId="0" fontId="25" fillId="5" borderId="0" xfId="0" applyFont="1" applyFill="1"/>
    <xf numFmtId="0" fontId="26" fillId="0" borderId="0" xfId="0" applyFont="1"/>
    <xf numFmtId="0" fontId="7" fillId="6" borderId="0" xfId="0" applyFont="1" applyFill="1"/>
    <xf numFmtId="0" fontId="0" fillId="6" borderId="0" xfId="0" applyFill="1" applyAlignment="1">
      <alignment horizontal="center"/>
    </xf>
    <xf numFmtId="0" fontId="4" fillId="6" borderId="0" xfId="0" applyFont="1" applyFill="1"/>
    <xf numFmtId="0" fontId="0" fillId="6" borderId="0" xfId="0" applyFill="1"/>
    <xf numFmtId="0" fontId="21" fillId="6" borderId="0" xfId="0" applyFont="1" applyFill="1" applyAlignment="1">
      <alignment horizontal="center"/>
    </xf>
    <xf numFmtId="0" fontId="20" fillId="6" borderId="0" xfId="0" applyFont="1" applyFill="1"/>
    <xf numFmtId="0" fontId="17" fillId="6" borderId="0" xfId="0" applyFont="1" applyFill="1" applyAlignment="1">
      <alignment horizontal="left"/>
    </xf>
    <xf numFmtId="0" fontId="4" fillId="2" borderId="4" xfId="0" applyFont="1" applyFill="1" applyBorder="1"/>
    <xf numFmtId="0" fontId="0" fillId="2" borderId="0" xfId="0" applyFill="1"/>
    <xf numFmtId="0" fontId="0" fillId="2" borderId="5" xfId="0" applyFill="1" applyBorder="1"/>
    <xf numFmtId="0" fontId="4" fillId="6" borderId="0" xfId="0" applyFont="1" applyFill="1" applyAlignment="1">
      <alignment horizontal="left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4" fillId="2" borderId="2" xfId="0" applyFont="1" applyFill="1" applyBorder="1"/>
    <xf numFmtId="0" fontId="0" fillId="2" borderId="8" xfId="0" applyFill="1" applyBorder="1"/>
    <xf numFmtId="0" fontId="0" fillId="2" borderId="3" xfId="0" applyFill="1" applyBorder="1"/>
    <xf numFmtId="0" fontId="5" fillId="0" borderId="10" xfId="0" applyFont="1" applyBorder="1"/>
    <xf numFmtId="0" fontId="2" fillId="0" borderId="10" xfId="0" applyFont="1" applyBorder="1"/>
    <xf numFmtId="0" fontId="0" fillId="0" borderId="10" xfId="0" applyBorder="1"/>
  </cellXfs>
  <cellStyles count="1">
    <cellStyle name="Normal" xfId="0" builtinId="0"/>
  </cellStyles>
  <dxfs count="7">
    <dxf>
      <font>
        <b/>
        <family val="2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family val="2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family val="2"/>
      </font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20"/>
        <color rgb="FF000000"/>
        <name val="Arial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Products Vs Total sales</a:t>
            </a:r>
          </a:p>
        </c:rich>
      </c:tx>
      <c:layout>
        <c:manualLayout>
          <c:xMode val="edge"/>
          <c:yMode val="edge"/>
          <c:x val="0.21342344706911637"/>
          <c:y val="6.4814814814814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'Q7 answ'!$D$57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'Q7 answ'!$C$58:$C$62</c:f>
              <c:strCache>
                <c:ptCount val="5"/>
                <c:pt idx="0">
                  <c:v>Pencil</c:v>
                </c:pt>
                <c:pt idx="1">
                  <c:v>Eraser</c:v>
                </c:pt>
                <c:pt idx="2">
                  <c:v>Marker</c:v>
                </c:pt>
                <c:pt idx="3">
                  <c:v>Notebook</c:v>
                </c:pt>
                <c:pt idx="4">
                  <c:v>Pen</c:v>
                </c:pt>
              </c:strCache>
            </c:strRef>
          </c:cat>
          <c:val>
            <c:numRef>
              <c:f>'Q7 answ'!$D$58:$D$62</c:f>
              <c:numCache>
                <c:formatCode>General</c:formatCode>
                <c:ptCount val="5"/>
                <c:pt idx="0">
                  <c:v>1235</c:v>
                </c:pt>
                <c:pt idx="1">
                  <c:v>1928</c:v>
                </c:pt>
                <c:pt idx="2">
                  <c:v>3650</c:v>
                </c:pt>
                <c:pt idx="3">
                  <c:v>7050</c:v>
                </c:pt>
                <c:pt idx="4">
                  <c:v>1980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31-49BE-BCB5-44EACCCEC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3538112"/>
        <c:axId val="1523554912"/>
      </c:barChart>
      <c:catAx>
        <c:axId val="152353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54912"/>
        <c:crosses val="autoZero"/>
        <c:auto val="1"/>
        <c:lblAlgn val="ctr"/>
        <c:lblOffset val="100"/>
        <c:noMultiLvlLbl val="0"/>
      </c:catAx>
      <c:valAx>
        <c:axId val="152355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3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Products Vs Total sales</a:t>
            </a:r>
          </a:p>
        </c:rich>
      </c:tx>
      <c:layout>
        <c:manualLayout>
          <c:xMode val="edge"/>
          <c:yMode val="edge"/>
          <c:x val="0.21342344706911637"/>
          <c:y val="6.48148148148148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'Q7 answ'!$D$57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'Q7 answ'!$C$58:$C$62</c:f>
              <c:strCache>
                <c:ptCount val="5"/>
                <c:pt idx="0">
                  <c:v>Pencil</c:v>
                </c:pt>
                <c:pt idx="1">
                  <c:v>Eraser</c:v>
                </c:pt>
                <c:pt idx="2">
                  <c:v>Marker</c:v>
                </c:pt>
                <c:pt idx="3">
                  <c:v>Notebook</c:v>
                </c:pt>
                <c:pt idx="4">
                  <c:v>Pen</c:v>
                </c:pt>
              </c:strCache>
            </c:strRef>
          </c:cat>
          <c:val>
            <c:numRef>
              <c:f>'Q7 answ'!$D$58:$D$62</c:f>
              <c:numCache>
                <c:formatCode>General</c:formatCode>
                <c:ptCount val="5"/>
                <c:pt idx="0">
                  <c:v>1235</c:v>
                </c:pt>
                <c:pt idx="1">
                  <c:v>1928</c:v>
                </c:pt>
                <c:pt idx="2">
                  <c:v>3650</c:v>
                </c:pt>
                <c:pt idx="3">
                  <c:v>7050</c:v>
                </c:pt>
                <c:pt idx="4">
                  <c:v>1980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0-4EC8-AC2F-AD57F5CAB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23538112"/>
        <c:axId val="1523554912"/>
      </c:barChart>
      <c:catAx>
        <c:axId val="152353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54912"/>
        <c:crosses val="autoZero"/>
        <c:auto val="1"/>
        <c:lblAlgn val="ctr"/>
        <c:lblOffset val="100"/>
        <c:noMultiLvlLbl val="0"/>
      </c:catAx>
      <c:valAx>
        <c:axId val="152355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53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SALES</a:t>
            </a:r>
          </a:p>
        </c:rich>
      </c:tx>
      <c:layout>
        <c:manualLayout>
          <c:xMode val="edge"/>
          <c:yMode val="edge"/>
          <c:x val="0.41386593793470117"/>
          <c:y val="4.52150783982834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'Q8 ans'!$I$1</c:f>
              <c:strCache>
                <c:ptCount val="1"/>
                <c:pt idx="0">
                  <c:v>TOTAL SALES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strRef>
              <c:f>'Q8 ans'!$G$2:$G$51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'Q8 ans'!$I$2:$I$51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5B-41A8-B8E8-D1E13F2AF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1438693264"/>
        <c:axId val="1438686064"/>
      </c:lineChart>
      <c:catAx>
        <c:axId val="1438693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686064"/>
        <c:crosses val="autoZero"/>
        <c:auto val="1"/>
        <c:lblAlgn val="ctr"/>
        <c:lblOffset val="100"/>
        <c:noMultiLvlLbl val="0"/>
      </c:catAx>
      <c:valAx>
        <c:axId val="1438686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693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161925</xdr:colOff>
      <xdr:row>0</xdr:row>
      <xdr:rowOff>57150</xdr:rowOff>
    </xdr:from>
    <xdr:to>
      <xdr:col>22</xdr:col>
      <xdr:colOff>540129</xdr:colOff>
      <xdr:row>42</xdr:row>
      <xdr:rowOff>8608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21232D-8A7C-4100-9A4E-EB3A2AD6D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62850" y="57150"/>
          <a:ext cx="7083804" cy="69142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514350</xdr:colOff>
      <xdr:row>2</xdr:row>
      <xdr:rowOff>85725</xdr:rowOff>
    </xdr:from>
    <xdr:to>
      <xdr:col>31</xdr:col>
      <xdr:colOff>282954</xdr:colOff>
      <xdr:row>37</xdr:row>
      <xdr:rowOff>161008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151ED6-A942-41E4-975E-B69BE4ADA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87325" y="600075"/>
          <a:ext cx="7083804" cy="69142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514350</xdr:colOff>
      <xdr:row>2</xdr:row>
      <xdr:rowOff>85725</xdr:rowOff>
    </xdr:from>
    <xdr:to>
      <xdr:col>31</xdr:col>
      <xdr:colOff>282954</xdr:colOff>
      <xdr:row>37</xdr:row>
      <xdr:rowOff>161008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4A6339-D323-4FFB-80D5-F2F55F6C1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83525" y="600075"/>
          <a:ext cx="7083804" cy="69142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514350</xdr:colOff>
      <xdr:row>2</xdr:row>
      <xdr:rowOff>85725</xdr:rowOff>
    </xdr:from>
    <xdr:to>
      <xdr:col>31</xdr:col>
      <xdr:colOff>282954</xdr:colOff>
      <xdr:row>37</xdr:row>
      <xdr:rowOff>161008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DF93D2-7250-4EA6-97F8-2FD751BA9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83525" y="600075"/>
          <a:ext cx="7083804" cy="6914233"/>
        </a:xfrm>
        <a:prstGeom prst="rect">
          <a:avLst/>
        </a:prstGeom>
      </xdr:spPr>
    </xdr:pic>
    <xdr:clientData/>
  </xdr:twoCellAnchor>
  <xdr:twoCellAnchor>
    <xdr:from>
      <xdr:col>11</xdr:col>
      <xdr:colOff>389964</xdr:colOff>
      <xdr:row>40</xdr:row>
      <xdr:rowOff>76201</xdr:rowOff>
    </xdr:from>
    <xdr:to>
      <xdr:col>12</xdr:col>
      <xdr:colOff>4029635</xdr:colOff>
      <xdr:row>55</xdr:row>
      <xdr:rowOff>165848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A530F2-3D7C-CE97-2FD2-0FEA5CCFE1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0</xdr:colOff>
      <xdr:row>6</xdr:row>
      <xdr:rowOff>0</xdr:rowOff>
    </xdr:from>
    <xdr:to>
      <xdr:col>12</xdr:col>
      <xdr:colOff>4572000</xdr:colOff>
      <xdr:row>21</xdr:row>
      <xdr:rowOff>53788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E8D673-3D9B-40E6-B188-1DDA233B51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414618</xdr:colOff>
      <xdr:row>4</xdr:row>
      <xdr:rowOff>73958</xdr:rowOff>
    </xdr:from>
    <xdr:to>
      <xdr:col>20</xdr:col>
      <xdr:colOff>246530</xdr:colOff>
      <xdr:row>23</xdr:row>
      <xdr:rowOff>33618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AB3556-9A55-8F66-00A4-5D5CB30CC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465C5A-716A-47B3-B14A-2ED3B949AE22}" name="Table1" displayName="Table1" ref="B5:C8" totalsRowShown="0" headerRowDxfId="6" dataDxfId="4" headerRowBorderDxfId="5" tableBorderDxfId="3" totalsRowBorderDxfId="2">
  <tableColumns count="2">
    <tableColumn id="1" xr3:uid="{28B641CD-868A-4891-BA31-7D71E8771B94}" name="Vehicle" dataDxfId="1"/>
    <tableColumn id="2" xr3:uid="{821378E2-9C84-4DBC-871E-4B2C6042DD81}" name="Price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4E6FA-16F2-462A-A462-99A56F3AE086}">
  <dimension ref="A1:P51"/>
  <sheetViews>
    <sheetView zoomScale="70" zoomScaleNormal="70" workbookViewId="0">
      <selection activeCell="I26" sqref="I26"/>
    </sheetView>
  </sheetViews>
  <sheetFormatPr defaultRowHeight="13.2" x14ac:dyDescent="0.25"/>
  <cols>
    <col min="1" max="1" width="15.6640625" customWidth="1"/>
    <col min="2" max="2" width="26.88671875" customWidth="1"/>
    <col min="4" max="4" width="42.5546875" customWidth="1"/>
    <col min="5" max="5" width="56" customWidth="1"/>
    <col min="9" max="9" width="41.5546875" customWidth="1"/>
  </cols>
  <sheetData>
    <row r="1" spans="1:16" ht="90" x14ac:dyDescent="1.45">
      <c r="A1" s="22" t="s">
        <v>145</v>
      </c>
      <c r="B1" s="22"/>
      <c r="C1" s="22"/>
      <c r="D1" s="23"/>
      <c r="E1" s="23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5" spans="1:16" ht="32.4" x14ac:dyDescent="0.55000000000000004">
      <c r="A5" s="51" t="s">
        <v>107</v>
      </c>
      <c r="B5" s="61" t="s">
        <v>91</v>
      </c>
      <c r="C5" s="61"/>
      <c r="D5" s="61"/>
      <c r="E5" s="61"/>
      <c r="F5" s="61"/>
      <c r="G5" s="61"/>
      <c r="H5" s="61"/>
      <c r="I5" s="61"/>
    </row>
    <row r="7" spans="1:16" ht="13.8" thickBot="1" x14ac:dyDescent="0.3">
      <c r="B7" s="62" t="s">
        <v>92</v>
      </c>
      <c r="C7" s="62"/>
      <c r="D7" s="63"/>
      <c r="E7" s="64" t="s">
        <v>93</v>
      </c>
      <c r="F7" s="64"/>
      <c r="G7" s="64"/>
      <c r="H7" s="64" t="s">
        <v>94</v>
      </c>
      <c r="I7" s="64"/>
    </row>
    <row r="8" spans="1:16" x14ac:dyDescent="0.25">
      <c r="B8" s="65" t="s">
        <v>95</v>
      </c>
      <c r="C8" s="66"/>
      <c r="D8" s="67"/>
      <c r="E8" s="11" t="s">
        <v>99</v>
      </c>
      <c r="F8" s="12"/>
      <c r="I8" s="11" t="s">
        <v>103</v>
      </c>
      <c r="J8" s="8"/>
      <c r="K8" s="8"/>
      <c r="L8" s="7"/>
    </row>
    <row r="9" spans="1:16" x14ac:dyDescent="0.25">
      <c r="B9" s="58" t="s">
        <v>96</v>
      </c>
      <c r="C9" s="59"/>
      <c r="D9" s="60"/>
      <c r="E9" s="16"/>
      <c r="F9" s="15"/>
      <c r="I9" s="16"/>
      <c r="J9" s="14"/>
      <c r="K9" s="14"/>
      <c r="L9" s="15"/>
    </row>
    <row r="10" spans="1:16" ht="17.399999999999999" x14ac:dyDescent="0.3">
      <c r="A10" s="9" t="s">
        <v>108</v>
      </c>
      <c r="B10" s="13" t="s">
        <v>97</v>
      </c>
      <c r="C10" s="14"/>
      <c r="D10" s="15"/>
      <c r="E10" s="16"/>
      <c r="F10" s="15"/>
      <c r="I10" s="16"/>
      <c r="J10" s="14"/>
      <c r="K10" s="14"/>
      <c r="L10" s="15"/>
    </row>
    <row r="11" spans="1:16" x14ac:dyDescent="0.25">
      <c r="B11" s="16"/>
      <c r="C11" s="14"/>
      <c r="D11" s="15"/>
      <c r="E11" s="16"/>
      <c r="F11" s="15"/>
      <c r="I11" s="16"/>
      <c r="J11" s="14"/>
      <c r="K11" s="14"/>
      <c r="L11" s="15"/>
    </row>
    <row r="12" spans="1:16" x14ac:dyDescent="0.25">
      <c r="B12" s="13" t="s">
        <v>98</v>
      </c>
      <c r="C12" s="14"/>
      <c r="D12" s="15"/>
      <c r="E12" s="13" t="s">
        <v>101</v>
      </c>
      <c r="F12" s="20" t="s">
        <v>100</v>
      </c>
      <c r="I12" s="13" t="s">
        <v>104</v>
      </c>
      <c r="J12" s="14"/>
      <c r="K12" s="14"/>
      <c r="L12" s="15"/>
    </row>
    <row r="13" spans="1:16" ht="13.8" thickBot="1" x14ac:dyDescent="0.3">
      <c r="B13" s="17" t="s">
        <v>106</v>
      </c>
      <c r="C13" s="18"/>
      <c r="D13" s="19"/>
      <c r="E13" s="13" t="s">
        <v>102</v>
      </c>
      <c r="F13" s="15"/>
      <c r="I13" s="13" t="s">
        <v>105</v>
      </c>
      <c r="J13" s="14"/>
      <c r="K13" s="14"/>
      <c r="L13" s="15"/>
    </row>
    <row r="14" spans="1:16" ht="13.8" thickBot="1" x14ac:dyDescent="0.3">
      <c r="E14" s="21"/>
      <c r="F14" s="19"/>
      <c r="I14" s="21"/>
      <c r="J14" s="18"/>
      <c r="K14" s="18"/>
      <c r="L14" s="19"/>
    </row>
    <row r="25" spans="1:5" ht="32.4" x14ac:dyDescent="0.55000000000000004">
      <c r="A25" s="10"/>
      <c r="B25" s="6"/>
    </row>
    <row r="26" spans="1:5" ht="28.2" x14ac:dyDescent="0.5">
      <c r="C26" s="29"/>
    </row>
    <row r="28" spans="1:5" ht="28.2" x14ac:dyDescent="0.5">
      <c r="B28" s="24"/>
      <c r="C28" s="28"/>
      <c r="D28" s="28"/>
      <c r="E28" s="25"/>
    </row>
    <row r="29" spans="1:5" ht="24.6" x14ac:dyDescent="0.4">
      <c r="A29" s="9"/>
      <c r="B29" s="26"/>
      <c r="C29" s="26"/>
      <c r="D29" s="27"/>
    </row>
    <row r="46" spans="1:3" ht="32.4" x14ac:dyDescent="0.55000000000000004">
      <c r="A46" s="10"/>
      <c r="C46" s="6"/>
    </row>
    <row r="50" spans="1:4" x14ac:dyDescent="0.25">
      <c r="D50" s="6"/>
    </row>
    <row r="51" spans="1:4" ht="17.399999999999999" x14ac:dyDescent="0.3">
      <c r="A51" s="9"/>
      <c r="D51" s="6"/>
    </row>
  </sheetData>
  <mergeCells count="6">
    <mergeCell ref="B9:D9"/>
    <mergeCell ref="B5:I5"/>
    <mergeCell ref="B7:D7"/>
    <mergeCell ref="E7:G7"/>
    <mergeCell ref="H7:I7"/>
    <mergeCell ref="B8:D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FCB7F-759B-4533-95CF-7CC0F9B052EE}">
  <dimension ref="A3:G13"/>
  <sheetViews>
    <sheetView workbookViewId="0">
      <selection sqref="A1:H20"/>
    </sheetView>
  </sheetViews>
  <sheetFormatPr defaultRowHeight="13.2" x14ac:dyDescent="0.25"/>
  <cols>
    <col min="2" max="2" width="17" customWidth="1"/>
    <col min="3" max="3" width="11.6640625" customWidth="1"/>
  </cols>
  <sheetData>
    <row r="3" spans="1:7" x14ac:dyDescent="0.25">
      <c r="A3" s="52">
        <v>2</v>
      </c>
      <c r="B3" s="53" t="s">
        <v>109</v>
      </c>
      <c r="C3" s="54"/>
      <c r="D3" s="54"/>
      <c r="E3" s="54"/>
      <c r="F3" s="54"/>
      <c r="G3" s="54"/>
    </row>
    <row r="5" spans="1:7" ht="24.6" x14ac:dyDescent="0.4">
      <c r="B5" s="30" t="s">
        <v>113</v>
      </c>
      <c r="C5" s="31" t="s">
        <v>114</v>
      </c>
    </row>
    <row r="6" spans="1:7" x14ac:dyDescent="0.25">
      <c r="B6" s="32" t="s">
        <v>115</v>
      </c>
      <c r="C6" s="33">
        <v>500000</v>
      </c>
    </row>
    <row r="7" spans="1:7" x14ac:dyDescent="0.25">
      <c r="B7" s="32" t="s">
        <v>117</v>
      </c>
      <c r="C7" s="33">
        <v>10500</v>
      </c>
    </row>
    <row r="8" spans="1:7" x14ac:dyDescent="0.25">
      <c r="B8" s="34" t="s">
        <v>116</v>
      </c>
      <c r="C8" s="35">
        <v>25000</v>
      </c>
    </row>
    <row r="12" spans="1:7" x14ac:dyDescent="0.25">
      <c r="A12" s="6" t="s">
        <v>118</v>
      </c>
      <c r="B12" s="6" t="s">
        <v>120</v>
      </c>
    </row>
    <row r="13" spans="1:7" x14ac:dyDescent="0.25">
      <c r="B13" s="26" t="s">
        <v>119</v>
      </c>
      <c r="C13" s="26"/>
      <c r="D13" s="36">
        <f>SUM(C6:C7)</f>
        <v>510500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ED9E3-8B17-42EC-9D75-927B16B5BFBD}">
  <dimension ref="A2:O13"/>
  <sheetViews>
    <sheetView workbookViewId="0">
      <selection sqref="A1:P23"/>
    </sheetView>
  </sheetViews>
  <sheetFormatPr defaultRowHeight="13.2" x14ac:dyDescent="0.25"/>
  <sheetData>
    <row r="2" spans="1:15" ht="28.2" x14ac:dyDescent="0.5">
      <c r="A2" s="55" t="s">
        <v>142</v>
      </c>
      <c r="B2" s="56" t="s">
        <v>110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4"/>
      <c r="N2" s="54"/>
      <c r="O2" s="54"/>
    </row>
    <row r="4" spans="1:15" x14ac:dyDescent="0.25">
      <c r="A4" s="6" t="s">
        <v>143</v>
      </c>
    </row>
    <row r="6" spans="1:15" ht="15.6" x14ac:dyDescent="0.3">
      <c r="A6" s="37" t="s">
        <v>121</v>
      </c>
      <c r="B6" s="37" t="s">
        <v>114</v>
      </c>
      <c r="C6" s="37" t="s">
        <v>122</v>
      </c>
    </row>
    <row r="7" spans="1:15" ht="15.6" x14ac:dyDescent="0.3">
      <c r="A7" s="37" t="s">
        <v>123</v>
      </c>
      <c r="B7" s="37">
        <v>90</v>
      </c>
      <c r="C7" s="37">
        <v>1000</v>
      </c>
    </row>
    <row r="8" spans="1:15" ht="15.6" x14ac:dyDescent="0.3">
      <c r="A8" s="37" t="s">
        <v>124</v>
      </c>
      <c r="B8" s="37">
        <v>150</v>
      </c>
      <c r="C8" s="37">
        <v>1200</v>
      </c>
    </row>
    <row r="9" spans="1:15" ht="15.6" x14ac:dyDescent="0.3">
      <c r="A9" s="37" t="s">
        <v>125</v>
      </c>
      <c r="B9" s="37">
        <v>250</v>
      </c>
      <c r="C9" s="37">
        <v>1500</v>
      </c>
    </row>
    <row r="12" spans="1:15" x14ac:dyDescent="0.25">
      <c r="C12" s="26" t="s">
        <v>126</v>
      </c>
      <c r="D12" s="26"/>
      <c r="E12" s="26"/>
      <c r="F12" s="26"/>
      <c r="G12" s="26"/>
      <c r="H12" s="26"/>
    </row>
    <row r="13" spans="1:15" x14ac:dyDescent="0.25">
      <c r="C13" s="6" t="s">
        <v>112</v>
      </c>
      <c r="D13" s="38">
        <f>AVERAGEIFS(C7:C9,B7:B9,"&gt;100",B7:B9,"&lt;300")</f>
        <v>1350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F5AE1-2C48-45DA-B792-4CFA0FCD0E73}">
  <dimension ref="A1:T51"/>
  <sheetViews>
    <sheetView topLeftCell="A3" workbookViewId="0">
      <selection sqref="A1:AK58"/>
    </sheetView>
  </sheetViews>
  <sheetFormatPr defaultRowHeight="13.2" x14ac:dyDescent="0.25"/>
  <cols>
    <col min="1" max="1" width="8" bestFit="1" customWidth="1"/>
    <col min="2" max="2" width="18.44140625" bestFit="1" customWidth="1"/>
    <col min="3" max="3" width="7.109375" bestFit="1" customWidth="1"/>
    <col min="4" max="4" width="9.88671875" bestFit="1" customWidth="1"/>
    <col min="5" max="5" width="8.6640625" bestFit="1" customWidth="1"/>
    <col min="6" max="6" width="9.33203125" bestFit="1" customWidth="1"/>
    <col min="7" max="7" width="10.44140625" bestFit="1" customWidth="1"/>
    <col min="12" max="12" width="12" customWidth="1"/>
  </cols>
  <sheetData>
    <row r="1" spans="1:2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20" ht="14.4" x14ac:dyDescent="0.3">
      <c r="A2" s="2">
        <v>1001</v>
      </c>
      <c r="B2" s="3" t="s">
        <v>111</v>
      </c>
      <c r="C2" s="3" t="s">
        <v>7</v>
      </c>
      <c r="D2" s="3" t="s">
        <v>8</v>
      </c>
      <c r="E2" s="2">
        <v>10</v>
      </c>
      <c r="F2" s="2">
        <v>50</v>
      </c>
      <c r="G2" s="4">
        <v>45413</v>
      </c>
    </row>
    <row r="3" spans="1:20" ht="14.4" x14ac:dyDescent="0.3">
      <c r="A3" s="2">
        <v>1002</v>
      </c>
      <c r="B3" s="3" t="s">
        <v>9</v>
      </c>
      <c r="C3" s="3" t="s">
        <v>10</v>
      </c>
      <c r="D3" s="3" t="s">
        <v>11</v>
      </c>
      <c r="E3" s="2">
        <v>20</v>
      </c>
      <c r="F3" s="2">
        <v>10</v>
      </c>
      <c r="G3" s="4">
        <v>45444</v>
      </c>
    </row>
    <row r="4" spans="1:20" ht="14.4" x14ac:dyDescent="0.3">
      <c r="A4" s="2">
        <v>1003</v>
      </c>
      <c r="B4" s="3" t="s">
        <v>12</v>
      </c>
      <c r="C4" s="3" t="s">
        <v>13</v>
      </c>
      <c r="D4" s="3" t="s">
        <v>14</v>
      </c>
      <c r="E4" s="2">
        <v>15</v>
      </c>
      <c r="F4" s="2">
        <v>25</v>
      </c>
      <c r="G4" s="4">
        <v>45474</v>
      </c>
    </row>
    <row r="5" spans="1:20" ht="24.6" x14ac:dyDescent="0.4">
      <c r="A5" s="2">
        <v>1004</v>
      </c>
      <c r="B5" s="3" t="s">
        <v>15</v>
      </c>
      <c r="C5" s="3" t="s">
        <v>16</v>
      </c>
      <c r="D5" s="3" t="s">
        <v>8</v>
      </c>
      <c r="E5" s="2">
        <v>5</v>
      </c>
      <c r="F5" s="2">
        <v>50</v>
      </c>
      <c r="G5" s="4">
        <v>45505</v>
      </c>
      <c r="J5" s="54"/>
      <c r="K5" s="57" t="s">
        <v>128</v>
      </c>
      <c r="L5" s="57" t="s">
        <v>127</v>
      </c>
      <c r="M5" s="57"/>
      <c r="N5" s="57"/>
      <c r="O5" s="57"/>
      <c r="P5" s="57"/>
      <c r="Q5" s="54"/>
      <c r="R5" s="54"/>
      <c r="S5" s="54"/>
      <c r="T5" s="54"/>
    </row>
    <row r="6" spans="1:20" ht="14.4" x14ac:dyDescent="0.3">
      <c r="A6" s="2">
        <v>1005</v>
      </c>
      <c r="B6" s="3" t="s">
        <v>17</v>
      </c>
      <c r="C6" s="3" t="s">
        <v>7</v>
      </c>
      <c r="D6" s="3" t="s">
        <v>18</v>
      </c>
      <c r="E6" s="2">
        <v>30</v>
      </c>
      <c r="F6" s="2">
        <v>5</v>
      </c>
      <c r="G6" s="4">
        <v>45566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4.4" x14ac:dyDescent="0.3">
      <c r="A7" s="2">
        <v>1006</v>
      </c>
      <c r="B7" s="3" t="s">
        <v>19</v>
      </c>
      <c r="C7" s="3" t="s">
        <v>10</v>
      </c>
      <c r="D7" s="3" t="s">
        <v>8</v>
      </c>
      <c r="E7" s="2">
        <v>12</v>
      </c>
      <c r="F7" s="2">
        <v>50</v>
      </c>
      <c r="G7" s="4">
        <v>45597</v>
      </c>
    </row>
    <row r="8" spans="1:20" ht="14.4" x14ac:dyDescent="0.3">
      <c r="A8" s="2">
        <v>1007</v>
      </c>
      <c r="B8" s="3" t="s">
        <v>20</v>
      </c>
      <c r="C8" s="3" t="s">
        <v>13</v>
      </c>
      <c r="D8" s="3" t="s">
        <v>21</v>
      </c>
      <c r="E8" s="2">
        <v>25</v>
      </c>
      <c r="F8" s="2">
        <v>8</v>
      </c>
      <c r="G8" s="2" t="s">
        <v>22</v>
      </c>
      <c r="L8" s="6" t="s">
        <v>129</v>
      </c>
    </row>
    <row r="9" spans="1:20" ht="24.6" x14ac:dyDescent="0.4">
      <c r="A9" s="2">
        <v>1008</v>
      </c>
      <c r="B9" s="3" t="s">
        <v>23</v>
      </c>
      <c r="C9" s="3" t="s">
        <v>16</v>
      </c>
      <c r="D9" s="3" t="s">
        <v>11</v>
      </c>
      <c r="E9" s="2">
        <v>18</v>
      </c>
      <c r="F9" s="2">
        <v>10</v>
      </c>
      <c r="G9" s="2" t="s">
        <v>24</v>
      </c>
      <c r="L9" s="50" t="s">
        <v>112</v>
      </c>
      <c r="M9" s="40">
        <f>COUNTA(B2:B51)</f>
        <v>50</v>
      </c>
      <c r="N9" s="6" t="s">
        <v>130</v>
      </c>
    </row>
    <row r="10" spans="1:20" ht="14.4" x14ac:dyDescent="0.3">
      <c r="A10" s="2">
        <v>1009</v>
      </c>
      <c r="B10" s="3" t="s">
        <v>25</v>
      </c>
      <c r="C10" s="3" t="s">
        <v>7</v>
      </c>
      <c r="D10" s="3" t="s">
        <v>14</v>
      </c>
      <c r="E10" s="2">
        <v>22</v>
      </c>
      <c r="F10" s="2">
        <v>25</v>
      </c>
      <c r="G10" s="2" t="s">
        <v>26</v>
      </c>
    </row>
    <row r="11" spans="1:20" ht="14.4" x14ac:dyDescent="0.3">
      <c r="A11" s="2">
        <v>1010</v>
      </c>
      <c r="B11" s="3" t="s">
        <v>27</v>
      </c>
      <c r="C11" s="3" t="s">
        <v>10</v>
      </c>
      <c r="D11" s="3" t="s">
        <v>8</v>
      </c>
      <c r="E11" s="2">
        <v>8</v>
      </c>
      <c r="F11" s="2">
        <v>50</v>
      </c>
      <c r="G11" s="2" t="s">
        <v>28</v>
      </c>
    </row>
    <row r="12" spans="1:20" ht="14.4" x14ac:dyDescent="0.3">
      <c r="A12" s="2">
        <v>1011</v>
      </c>
      <c r="B12" s="3" t="s">
        <v>29</v>
      </c>
      <c r="C12" s="3" t="s">
        <v>13</v>
      </c>
      <c r="D12" s="3" t="s">
        <v>18</v>
      </c>
      <c r="E12" s="2">
        <v>40</v>
      </c>
      <c r="F12" s="2">
        <v>5</v>
      </c>
      <c r="G12" s="2" t="s">
        <v>30</v>
      </c>
    </row>
    <row r="13" spans="1:20" ht="14.4" x14ac:dyDescent="0.3">
      <c r="A13" s="2">
        <v>1012</v>
      </c>
      <c r="B13" s="3" t="s">
        <v>31</v>
      </c>
      <c r="C13" s="3" t="s">
        <v>16</v>
      </c>
      <c r="D13" s="3" t="s">
        <v>21</v>
      </c>
      <c r="E13" s="2">
        <v>35</v>
      </c>
      <c r="F13" s="2">
        <v>8</v>
      </c>
      <c r="G13" s="2" t="s">
        <v>32</v>
      </c>
    </row>
    <row r="14" spans="1:20" ht="14.4" x14ac:dyDescent="0.3">
      <c r="A14" s="2">
        <v>1013</v>
      </c>
      <c r="B14" s="3" t="s">
        <v>33</v>
      </c>
      <c r="C14" s="3" t="s">
        <v>7</v>
      </c>
      <c r="D14" s="3" t="s">
        <v>8</v>
      </c>
      <c r="E14" s="2">
        <v>14</v>
      </c>
      <c r="F14" s="2">
        <v>50</v>
      </c>
      <c r="G14" s="2" t="s">
        <v>34</v>
      </c>
    </row>
    <row r="15" spans="1:20" ht="14.4" x14ac:dyDescent="0.3">
      <c r="A15" s="2">
        <v>1014</v>
      </c>
      <c r="B15" s="3" t="s">
        <v>35</v>
      </c>
      <c r="C15" s="3" t="s">
        <v>10</v>
      </c>
      <c r="D15" s="3" t="s">
        <v>11</v>
      </c>
      <c r="E15" s="2">
        <v>28</v>
      </c>
      <c r="F15" s="2">
        <v>10</v>
      </c>
      <c r="G15" s="2" t="s">
        <v>36</v>
      </c>
    </row>
    <row r="16" spans="1:20" ht="14.4" x14ac:dyDescent="0.3">
      <c r="A16" s="2">
        <v>1015</v>
      </c>
      <c r="B16" s="3" t="s">
        <v>37</v>
      </c>
      <c r="C16" s="3" t="s">
        <v>13</v>
      </c>
      <c r="D16" s="3" t="s">
        <v>14</v>
      </c>
      <c r="E16" s="2">
        <v>12</v>
      </c>
      <c r="F16" s="2">
        <v>25</v>
      </c>
      <c r="G16" s="2" t="s">
        <v>38</v>
      </c>
    </row>
    <row r="17" spans="1:7" ht="14.4" x14ac:dyDescent="0.3">
      <c r="A17" s="2">
        <v>1016</v>
      </c>
      <c r="B17" s="3" t="s">
        <v>39</v>
      </c>
      <c r="C17" s="3" t="s">
        <v>16</v>
      </c>
      <c r="D17" s="3" t="s">
        <v>18</v>
      </c>
      <c r="E17" s="2">
        <v>25</v>
      </c>
      <c r="F17" s="2">
        <v>5</v>
      </c>
      <c r="G17" s="2" t="s">
        <v>40</v>
      </c>
    </row>
    <row r="18" spans="1:7" ht="14.4" x14ac:dyDescent="0.3">
      <c r="A18" s="2">
        <v>1017</v>
      </c>
      <c r="B18" s="3" t="s">
        <v>41</v>
      </c>
      <c r="C18" s="3" t="s">
        <v>7</v>
      </c>
      <c r="D18" s="3" t="s">
        <v>21</v>
      </c>
      <c r="E18" s="2">
        <v>20</v>
      </c>
      <c r="F18" s="2">
        <v>8</v>
      </c>
      <c r="G18" s="2" t="s">
        <v>42</v>
      </c>
    </row>
    <row r="19" spans="1:7" ht="14.4" x14ac:dyDescent="0.3">
      <c r="A19" s="2">
        <v>1018</v>
      </c>
      <c r="B19" s="3" t="s">
        <v>43</v>
      </c>
      <c r="C19" s="3" t="s">
        <v>10</v>
      </c>
      <c r="D19" s="3" t="s">
        <v>8</v>
      </c>
      <c r="E19" s="2">
        <v>10</v>
      </c>
      <c r="F19" s="2">
        <v>50</v>
      </c>
      <c r="G19" s="2" t="s">
        <v>44</v>
      </c>
    </row>
    <row r="20" spans="1:7" ht="14.4" x14ac:dyDescent="0.3">
      <c r="A20" s="2">
        <v>1019</v>
      </c>
      <c r="B20" s="3" t="s">
        <v>45</v>
      </c>
      <c r="C20" s="3" t="s">
        <v>13</v>
      </c>
      <c r="D20" s="3" t="s">
        <v>11</v>
      </c>
      <c r="E20" s="2">
        <v>15</v>
      </c>
      <c r="F20" s="2">
        <v>10</v>
      </c>
      <c r="G20" s="2" t="s">
        <v>46</v>
      </c>
    </row>
    <row r="21" spans="1:7" ht="14.4" x14ac:dyDescent="0.3">
      <c r="A21" s="2">
        <v>1020</v>
      </c>
      <c r="B21" s="3" t="s">
        <v>47</v>
      </c>
      <c r="C21" s="3" t="s">
        <v>16</v>
      </c>
      <c r="D21" s="3" t="s">
        <v>14</v>
      </c>
      <c r="E21" s="2">
        <v>18</v>
      </c>
      <c r="F21" s="2">
        <v>25</v>
      </c>
      <c r="G21" s="4">
        <v>45293</v>
      </c>
    </row>
    <row r="22" spans="1:7" ht="14.4" x14ac:dyDescent="0.3">
      <c r="A22" s="2">
        <v>1021</v>
      </c>
      <c r="B22" s="3" t="s">
        <v>48</v>
      </c>
      <c r="C22" s="3" t="s">
        <v>7</v>
      </c>
      <c r="D22" s="3" t="s">
        <v>8</v>
      </c>
      <c r="E22" s="2">
        <v>9</v>
      </c>
      <c r="F22" s="2">
        <v>50</v>
      </c>
      <c r="G22" s="4">
        <v>45324</v>
      </c>
    </row>
    <row r="23" spans="1:7" ht="14.4" x14ac:dyDescent="0.3">
      <c r="A23" s="2">
        <v>1022</v>
      </c>
      <c r="B23" s="3" t="s">
        <v>49</v>
      </c>
      <c r="C23" s="3" t="s">
        <v>10</v>
      </c>
      <c r="D23" s="3" t="s">
        <v>18</v>
      </c>
      <c r="E23" s="2">
        <v>35</v>
      </c>
      <c r="F23" s="2">
        <v>5</v>
      </c>
      <c r="G23" s="4">
        <v>45353</v>
      </c>
    </row>
    <row r="24" spans="1:7" ht="14.4" x14ac:dyDescent="0.3">
      <c r="A24" s="2">
        <v>1023</v>
      </c>
      <c r="B24" s="3" t="s">
        <v>50</v>
      </c>
      <c r="C24" s="3" t="s">
        <v>13</v>
      </c>
      <c r="D24" s="3" t="s">
        <v>21</v>
      </c>
      <c r="E24" s="2">
        <v>30</v>
      </c>
      <c r="F24" s="2">
        <v>8</v>
      </c>
      <c r="G24" s="4">
        <v>45384</v>
      </c>
    </row>
    <row r="25" spans="1:7" ht="14.4" x14ac:dyDescent="0.3">
      <c r="A25" s="2">
        <v>1024</v>
      </c>
      <c r="B25" s="3" t="s">
        <v>51</v>
      </c>
      <c r="C25" s="3" t="s">
        <v>16</v>
      </c>
      <c r="D25" s="3" t="s">
        <v>8</v>
      </c>
      <c r="E25" s="2">
        <v>11</v>
      </c>
      <c r="F25" s="2">
        <v>50</v>
      </c>
      <c r="G25" s="4">
        <v>45445</v>
      </c>
    </row>
    <row r="26" spans="1:7" ht="14.4" x14ac:dyDescent="0.3">
      <c r="A26" s="2">
        <v>1025</v>
      </c>
      <c r="B26" s="3" t="s">
        <v>52</v>
      </c>
      <c r="C26" s="3" t="s">
        <v>7</v>
      </c>
      <c r="D26" s="3" t="s">
        <v>11</v>
      </c>
      <c r="E26" s="2">
        <v>14</v>
      </c>
      <c r="F26" s="2">
        <v>10</v>
      </c>
      <c r="G26" s="4">
        <v>45475</v>
      </c>
    </row>
    <row r="27" spans="1:7" ht="14.4" x14ac:dyDescent="0.3">
      <c r="A27" s="2">
        <v>1026</v>
      </c>
      <c r="B27" s="3" t="s">
        <v>53</v>
      </c>
      <c r="C27" s="3" t="s">
        <v>10</v>
      </c>
      <c r="D27" s="3" t="s">
        <v>14</v>
      </c>
      <c r="E27" s="2">
        <v>16</v>
      </c>
      <c r="F27" s="2">
        <v>25</v>
      </c>
      <c r="G27" s="4">
        <v>45506</v>
      </c>
    </row>
    <row r="28" spans="1:7" ht="14.4" x14ac:dyDescent="0.3">
      <c r="A28" s="2">
        <v>1027</v>
      </c>
      <c r="B28" s="3" t="s">
        <v>54</v>
      </c>
      <c r="C28" s="3" t="s">
        <v>13</v>
      </c>
      <c r="D28" s="3" t="s">
        <v>18</v>
      </c>
      <c r="E28" s="2">
        <v>22</v>
      </c>
      <c r="F28" s="2">
        <v>5</v>
      </c>
      <c r="G28" s="4">
        <v>45537</v>
      </c>
    </row>
    <row r="29" spans="1:7" ht="14.4" x14ac:dyDescent="0.3">
      <c r="A29" s="2">
        <v>1028</v>
      </c>
      <c r="B29" s="3" t="s">
        <v>55</v>
      </c>
      <c r="C29" s="3" t="s">
        <v>16</v>
      </c>
      <c r="D29" s="3" t="s">
        <v>21</v>
      </c>
      <c r="E29" s="2">
        <v>27</v>
      </c>
      <c r="F29" s="2">
        <v>8</v>
      </c>
      <c r="G29" s="4">
        <v>45567</v>
      </c>
    </row>
    <row r="30" spans="1:7" ht="14.4" x14ac:dyDescent="0.3">
      <c r="A30" s="2">
        <v>1029</v>
      </c>
      <c r="B30" s="3" t="s">
        <v>56</v>
      </c>
      <c r="C30" s="3" t="s">
        <v>7</v>
      </c>
      <c r="D30" s="3" t="s">
        <v>8</v>
      </c>
      <c r="E30" s="2">
        <v>13</v>
      </c>
      <c r="F30" s="2">
        <v>50</v>
      </c>
      <c r="G30" s="4">
        <v>45628</v>
      </c>
    </row>
    <row r="31" spans="1:7" ht="14.4" x14ac:dyDescent="0.3">
      <c r="A31" s="2">
        <v>1030</v>
      </c>
      <c r="B31" s="3" t="s">
        <v>57</v>
      </c>
      <c r="C31" s="3" t="s">
        <v>10</v>
      </c>
      <c r="D31" s="3" t="s">
        <v>11</v>
      </c>
      <c r="E31" s="2">
        <v>32</v>
      </c>
      <c r="F31" s="2">
        <v>10</v>
      </c>
      <c r="G31" s="2" t="s">
        <v>58</v>
      </c>
    </row>
    <row r="32" spans="1:7" ht="14.4" x14ac:dyDescent="0.3">
      <c r="A32" s="2">
        <v>1031</v>
      </c>
      <c r="B32" s="3" t="s">
        <v>59</v>
      </c>
      <c r="C32" s="3" t="s">
        <v>13</v>
      </c>
      <c r="D32" s="3" t="s">
        <v>14</v>
      </c>
      <c r="E32" s="2">
        <v>10</v>
      </c>
      <c r="F32" s="2">
        <v>25</v>
      </c>
      <c r="G32" s="2" t="s">
        <v>60</v>
      </c>
    </row>
    <row r="33" spans="1:7" ht="14.4" x14ac:dyDescent="0.3">
      <c r="A33" s="2">
        <v>1032</v>
      </c>
      <c r="B33" s="3" t="s">
        <v>61</v>
      </c>
      <c r="C33" s="3" t="s">
        <v>16</v>
      </c>
      <c r="D33" s="3" t="s">
        <v>18</v>
      </c>
      <c r="E33" s="2">
        <v>18</v>
      </c>
      <c r="F33" s="2">
        <v>5</v>
      </c>
      <c r="G33" s="2" t="s">
        <v>62</v>
      </c>
    </row>
    <row r="34" spans="1:7" ht="14.4" x14ac:dyDescent="0.3">
      <c r="A34" s="2">
        <v>1033</v>
      </c>
      <c r="B34" s="3" t="s">
        <v>63</v>
      </c>
      <c r="C34" s="3" t="s">
        <v>7</v>
      </c>
      <c r="D34" s="3" t="s">
        <v>21</v>
      </c>
      <c r="E34" s="2">
        <v>22</v>
      </c>
      <c r="F34" s="2">
        <v>8</v>
      </c>
      <c r="G34" s="2" t="s">
        <v>64</v>
      </c>
    </row>
    <row r="35" spans="1:7" ht="14.4" x14ac:dyDescent="0.3">
      <c r="A35" s="2">
        <v>1034</v>
      </c>
      <c r="B35" s="3" t="s">
        <v>65</v>
      </c>
      <c r="C35" s="3" t="s">
        <v>10</v>
      </c>
      <c r="D35" s="3" t="s">
        <v>8</v>
      </c>
      <c r="E35" s="2">
        <v>17</v>
      </c>
      <c r="F35" s="2">
        <v>50</v>
      </c>
      <c r="G35" s="2" t="s">
        <v>66</v>
      </c>
    </row>
    <row r="36" spans="1:7" ht="14.4" x14ac:dyDescent="0.3">
      <c r="A36" s="2">
        <v>1035</v>
      </c>
      <c r="B36" s="3" t="s">
        <v>67</v>
      </c>
      <c r="C36" s="3" t="s">
        <v>13</v>
      </c>
      <c r="D36" s="3" t="s">
        <v>11</v>
      </c>
      <c r="E36" s="2">
        <v>19</v>
      </c>
      <c r="F36" s="2">
        <v>10</v>
      </c>
      <c r="G36" s="2" t="s">
        <v>68</v>
      </c>
    </row>
    <row r="37" spans="1:7" ht="14.4" x14ac:dyDescent="0.3">
      <c r="A37" s="2">
        <v>1036</v>
      </c>
      <c r="B37" s="3" t="s">
        <v>69</v>
      </c>
      <c r="C37" s="3" t="s">
        <v>16</v>
      </c>
      <c r="D37" s="3" t="s">
        <v>14</v>
      </c>
      <c r="E37" s="2">
        <v>15</v>
      </c>
      <c r="F37" s="2">
        <v>25</v>
      </c>
      <c r="G37" s="2" t="s">
        <v>70</v>
      </c>
    </row>
    <row r="38" spans="1:7" ht="14.4" x14ac:dyDescent="0.3">
      <c r="A38" s="2">
        <v>1037</v>
      </c>
      <c r="B38" s="3" t="s">
        <v>71</v>
      </c>
      <c r="C38" s="3" t="s">
        <v>7</v>
      </c>
      <c r="D38" s="3" t="s">
        <v>18</v>
      </c>
      <c r="E38" s="2">
        <v>28</v>
      </c>
      <c r="F38" s="2">
        <v>5</v>
      </c>
      <c r="G38" s="2" t="s">
        <v>72</v>
      </c>
    </row>
    <row r="39" spans="1:7" ht="14.4" x14ac:dyDescent="0.3">
      <c r="A39" s="2">
        <v>1038</v>
      </c>
      <c r="B39" s="3" t="s">
        <v>73</v>
      </c>
      <c r="C39" s="3" t="s">
        <v>10</v>
      </c>
      <c r="D39" s="3" t="s">
        <v>21</v>
      </c>
      <c r="E39" s="2">
        <v>24</v>
      </c>
      <c r="F39" s="2">
        <v>8</v>
      </c>
      <c r="G39" s="2" t="s">
        <v>74</v>
      </c>
    </row>
    <row r="40" spans="1:7" ht="14.4" x14ac:dyDescent="0.3">
      <c r="A40" s="2">
        <v>1039</v>
      </c>
      <c r="B40" s="3" t="s">
        <v>75</v>
      </c>
      <c r="C40" s="3" t="s">
        <v>13</v>
      </c>
      <c r="D40" s="3" t="s">
        <v>8</v>
      </c>
      <c r="E40" s="2">
        <v>16</v>
      </c>
      <c r="F40" s="2">
        <v>50</v>
      </c>
      <c r="G40" s="2" t="s">
        <v>76</v>
      </c>
    </row>
    <row r="41" spans="1:7" ht="14.4" x14ac:dyDescent="0.3">
      <c r="A41" s="2">
        <v>1040</v>
      </c>
      <c r="B41" s="3" t="s">
        <v>77</v>
      </c>
      <c r="C41" s="3" t="s">
        <v>16</v>
      </c>
      <c r="D41" s="3" t="s">
        <v>11</v>
      </c>
      <c r="E41" s="2">
        <v>27</v>
      </c>
      <c r="F41" s="2">
        <v>10</v>
      </c>
      <c r="G41" s="2" t="s">
        <v>78</v>
      </c>
    </row>
    <row r="42" spans="1:7" ht="14.4" x14ac:dyDescent="0.3">
      <c r="A42" s="2">
        <v>1041</v>
      </c>
      <c r="B42" s="3" t="s">
        <v>79</v>
      </c>
      <c r="C42" s="3" t="s">
        <v>7</v>
      </c>
      <c r="D42" s="3" t="s">
        <v>14</v>
      </c>
      <c r="E42" s="2">
        <v>21</v>
      </c>
      <c r="F42" s="2">
        <v>25</v>
      </c>
      <c r="G42" s="2" t="s">
        <v>80</v>
      </c>
    </row>
    <row r="43" spans="1:7" ht="14.4" x14ac:dyDescent="0.3">
      <c r="A43" s="2">
        <v>1042</v>
      </c>
      <c r="B43" s="3" t="s">
        <v>81</v>
      </c>
      <c r="C43" s="3" t="s">
        <v>10</v>
      </c>
      <c r="D43" s="3" t="s">
        <v>18</v>
      </c>
      <c r="E43" s="2">
        <v>30</v>
      </c>
      <c r="F43" s="2">
        <v>5</v>
      </c>
      <c r="G43" s="2" t="s">
        <v>82</v>
      </c>
    </row>
    <row r="44" spans="1:7" ht="14.4" x14ac:dyDescent="0.3">
      <c r="A44" s="2">
        <v>1043</v>
      </c>
      <c r="B44" s="3" t="s">
        <v>83</v>
      </c>
      <c r="C44" s="3" t="s">
        <v>13</v>
      </c>
      <c r="D44" s="3" t="s">
        <v>21</v>
      </c>
      <c r="E44" s="2">
        <v>26</v>
      </c>
      <c r="F44" s="2">
        <v>8</v>
      </c>
      <c r="G44" s="4">
        <v>45294</v>
      </c>
    </row>
    <row r="45" spans="1:7" ht="14.4" x14ac:dyDescent="0.3">
      <c r="A45" s="2">
        <v>1044</v>
      </c>
      <c r="B45" s="3" t="s">
        <v>84</v>
      </c>
      <c r="C45" s="3" t="s">
        <v>16</v>
      </c>
      <c r="D45" s="3" t="s">
        <v>8</v>
      </c>
      <c r="E45" s="2">
        <v>14</v>
      </c>
      <c r="F45" s="2">
        <v>50</v>
      </c>
      <c r="G45" s="4">
        <v>45325</v>
      </c>
    </row>
    <row r="46" spans="1:7" ht="14.4" x14ac:dyDescent="0.3">
      <c r="A46" s="2">
        <v>1045</v>
      </c>
      <c r="B46" s="3" t="s">
        <v>85</v>
      </c>
      <c r="C46" s="3" t="s">
        <v>7</v>
      </c>
      <c r="D46" s="3" t="s">
        <v>11</v>
      </c>
      <c r="E46" s="2">
        <v>20</v>
      </c>
      <c r="F46" s="2">
        <v>10</v>
      </c>
      <c r="G46" s="4">
        <v>45354</v>
      </c>
    </row>
    <row r="47" spans="1:7" ht="14.4" x14ac:dyDescent="0.3">
      <c r="A47" s="2">
        <v>1046</v>
      </c>
      <c r="B47" s="3" t="s">
        <v>86</v>
      </c>
      <c r="C47" s="3" t="s">
        <v>10</v>
      </c>
      <c r="D47" s="3" t="s">
        <v>14</v>
      </c>
      <c r="E47" s="2">
        <v>17</v>
      </c>
      <c r="F47" s="2">
        <v>25</v>
      </c>
      <c r="G47" s="4">
        <v>45385</v>
      </c>
    </row>
    <row r="48" spans="1:7" ht="14.4" x14ac:dyDescent="0.3">
      <c r="A48" s="2">
        <v>1047</v>
      </c>
      <c r="B48" s="3" t="s">
        <v>87</v>
      </c>
      <c r="C48" s="3" t="s">
        <v>13</v>
      </c>
      <c r="D48" s="3" t="s">
        <v>18</v>
      </c>
      <c r="E48" s="2">
        <v>19</v>
      </c>
      <c r="F48" s="2">
        <v>5</v>
      </c>
      <c r="G48" s="4">
        <v>45415</v>
      </c>
    </row>
    <row r="49" spans="1:7" ht="14.4" x14ac:dyDescent="0.3">
      <c r="A49" s="2">
        <v>1048</v>
      </c>
      <c r="B49" s="3" t="s">
        <v>88</v>
      </c>
      <c r="C49" s="3" t="s">
        <v>16</v>
      </c>
      <c r="D49" s="3" t="s">
        <v>21</v>
      </c>
      <c r="E49" s="2">
        <v>32</v>
      </c>
      <c r="F49" s="2">
        <v>8</v>
      </c>
      <c r="G49" s="4">
        <v>45446</v>
      </c>
    </row>
    <row r="50" spans="1:7" ht="14.4" x14ac:dyDescent="0.3">
      <c r="A50" s="2">
        <v>1049</v>
      </c>
      <c r="B50" s="3" t="s">
        <v>89</v>
      </c>
      <c r="C50" s="3" t="s">
        <v>7</v>
      </c>
      <c r="D50" s="3" t="s">
        <v>8</v>
      </c>
      <c r="E50" s="2">
        <v>12</v>
      </c>
      <c r="F50" s="2">
        <v>50</v>
      </c>
      <c r="G50" s="4">
        <v>45476</v>
      </c>
    </row>
    <row r="51" spans="1:7" ht="14.4" x14ac:dyDescent="0.3">
      <c r="A51" s="2">
        <v>1050</v>
      </c>
      <c r="B51" s="3" t="s">
        <v>90</v>
      </c>
      <c r="C51" s="3" t="s">
        <v>10</v>
      </c>
      <c r="D51" s="3" t="s">
        <v>11</v>
      </c>
      <c r="E51" s="2">
        <v>25</v>
      </c>
      <c r="F51" s="2">
        <v>10</v>
      </c>
      <c r="G51" s="4">
        <v>45507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EA3DD13A-601F-4705-8B66-68DD30B7EEEA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'Q4 Answ'!D1:D51</xm:f>
              <xm:sqref>E1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B9F47-3E36-40F0-86F4-AC452D55A702}">
  <dimension ref="A1:Q51"/>
  <sheetViews>
    <sheetView topLeftCell="F1" workbookViewId="0">
      <selection sqref="A1:M55"/>
    </sheetView>
  </sheetViews>
  <sheetFormatPr defaultRowHeight="13.2" x14ac:dyDescent="0.25"/>
  <cols>
    <col min="1" max="1" width="11.109375" bestFit="1" customWidth="1"/>
    <col min="2" max="2" width="20.88671875" bestFit="1" customWidth="1"/>
    <col min="3" max="3" width="9.88671875" bestFit="1" customWidth="1"/>
    <col min="4" max="4" width="10.88671875" bestFit="1" customWidth="1"/>
    <col min="5" max="5" width="13.109375" bestFit="1" customWidth="1"/>
    <col min="6" max="6" width="12.6640625" bestFit="1" customWidth="1"/>
    <col min="7" max="7" width="14.44140625" bestFit="1" customWidth="1"/>
    <col min="10" max="10" width="14.6640625" customWidth="1"/>
    <col min="12" max="12" width="13.5546875" bestFit="1" customWidth="1"/>
    <col min="13" max="13" width="97.44140625" bestFit="1" customWidth="1"/>
  </cols>
  <sheetData>
    <row r="1" spans="1:17" ht="24.6" x14ac:dyDescent="0.4">
      <c r="A1" s="41" t="s">
        <v>0</v>
      </c>
      <c r="B1" s="41" t="s">
        <v>1</v>
      </c>
      <c r="C1" s="41" t="s">
        <v>2</v>
      </c>
      <c r="D1" s="41" t="s">
        <v>3</v>
      </c>
      <c r="E1" s="42" t="s">
        <v>4</v>
      </c>
      <c r="F1" s="41" t="s">
        <v>5</v>
      </c>
      <c r="G1" s="41" t="s">
        <v>6</v>
      </c>
      <c r="I1" s="39" t="s">
        <v>134</v>
      </c>
      <c r="J1" s="43" t="s">
        <v>132</v>
      </c>
      <c r="N1" s="39"/>
      <c r="O1" s="39"/>
      <c r="P1" s="39"/>
      <c r="Q1" s="39"/>
    </row>
    <row r="2" spans="1:17" ht="14.4" x14ac:dyDescent="0.3">
      <c r="A2" s="2">
        <v>1001</v>
      </c>
      <c r="B2" s="3" t="s">
        <v>111</v>
      </c>
      <c r="C2" s="3" t="s">
        <v>7</v>
      </c>
      <c r="D2" s="3" t="s">
        <v>8</v>
      </c>
      <c r="E2" s="2">
        <v>10</v>
      </c>
      <c r="F2" s="2">
        <v>50</v>
      </c>
      <c r="G2" s="4">
        <v>45413</v>
      </c>
      <c r="J2" s="44">
        <f>PRODUCT(E2:F2)</f>
        <v>500</v>
      </c>
    </row>
    <row r="3" spans="1:17" ht="24.6" x14ac:dyDescent="0.4">
      <c r="A3" s="2">
        <v>1002</v>
      </c>
      <c r="B3" s="3" t="s">
        <v>9</v>
      </c>
      <c r="C3" s="3" t="s">
        <v>10</v>
      </c>
      <c r="D3" s="3" t="s">
        <v>11</v>
      </c>
      <c r="E3" s="2">
        <v>20</v>
      </c>
      <c r="F3" s="2">
        <v>10</v>
      </c>
      <c r="G3" s="4">
        <v>45444</v>
      </c>
      <c r="J3" s="44">
        <f t="shared" ref="J3:J51" si="0">PRODUCT(E3:F3)</f>
        <v>200</v>
      </c>
      <c r="L3" s="57" t="s">
        <v>131</v>
      </c>
      <c r="M3" s="54"/>
    </row>
    <row r="4" spans="1:17" ht="17.399999999999999" x14ac:dyDescent="0.3">
      <c r="A4" s="2">
        <v>1003</v>
      </c>
      <c r="B4" s="3" t="s">
        <v>12</v>
      </c>
      <c r="C4" s="3" t="s">
        <v>13</v>
      </c>
      <c r="D4" s="3" t="s">
        <v>14</v>
      </c>
      <c r="E4" s="2">
        <v>15</v>
      </c>
      <c r="F4" s="2">
        <v>25</v>
      </c>
      <c r="G4" s="4">
        <v>45474</v>
      </c>
      <c r="I4" s="45" t="s">
        <v>133</v>
      </c>
      <c r="J4" s="44">
        <f t="shared" si="0"/>
        <v>375</v>
      </c>
    </row>
    <row r="5" spans="1:17" ht="14.4" x14ac:dyDescent="0.3">
      <c r="A5" s="2">
        <v>1004</v>
      </c>
      <c r="B5" s="3" t="s">
        <v>15</v>
      </c>
      <c r="C5" s="3" t="s">
        <v>16</v>
      </c>
      <c r="D5" s="3" t="s">
        <v>8</v>
      </c>
      <c r="E5" s="2">
        <v>5</v>
      </c>
      <c r="F5" s="2">
        <v>50</v>
      </c>
      <c r="G5" s="4">
        <v>45505</v>
      </c>
      <c r="J5" s="44">
        <f t="shared" si="0"/>
        <v>250</v>
      </c>
    </row>
    <row r="6" spans="1:17" ht="14.4" x14ac:dyDescent="0.3">
      <c r="A6" s="2">
        <v>1005</v>
      </c>
      <c r="B6" s="3" t="s">
        <v>17</v>
      </c>
      <c r="C6" s="3" t="s">
        <v>7</v>
      </c>
      <c r="D6" s="3" t="s">
        <v>18</v>
      </c>
      <c r="E6" s="2">
        <v>30</v>
      </c>
      <c r="F6" s="2">
        <v>5</v>
      </c>
      <c r="G6" s="4">
        <v>45566</v>
      </c>
      <c r="J6" s="44">
        <f t="shared" si="0"/>
        <v>150</v>
      </c>
    </row>
    <row r="7" spans="1:17" ht="14.4" x14ac:dyDescent="0.3">
      <c r="A7" s="2">
        <v>1006</v>
      </c>
      <c r="B7" s="3" t="s">
        <v>19</v>
      </c>
      <c r="C7" s="3" t="s">
        <v>10</v>
      </c>
      <c r="D7" s="3" t="s">
        <v>8</v>
      </c>
      <c r="E7" s="2">
        <v>12</v>
      </c>
      <c r="F7" s="2">
        <v>50</v>
      </c>
      <c r="G7" s="4">
        <v>45597</v>
      </c>
      <c r="J7" s="44">
        <f t="shared" si="0"/>
        <v>600</v>
      </c>
    </row>
    <row r="8" spans="1:17" ht="14.4" x14ac:dyDescent="0.3">
      <c r="A8" s="2">
        <v>1007</v>
      </c>
      <c r="B8" s="3" t="s">
        <v>20</v>
      </c>
      <c r="C8" s="3" t="s">
        <v>13</v>
      </c>
      <c r="D8" s="3" t="s">
        <v>21</v>
      </c>
      <c r="E8" s="2">
        <v>25</v>
      </c>
      <c r="F8" s="2">
        <v>8</v>
      </c>
      <c r="G8" s="2" t="s">
        <v>22</v>
      </c>
      <c r="J8" s="44">
        <f t="shared" si="0"/>
        <v>200</v>
      </c>
    </row>
    <row r="9" spans="1:17" ht="14.4" x14ac:dyDescent="0.3">
      <c r="A9" s="2">
        <v>1008</v>
      </c>
      <c r="B9" s="3" t="s">
        <v>23</v>
      </c>
      <c r="C9" s="3" t="s">
        <v>16</v>
      </c>
      <c r="D9" s="3" t="s">
        <v>11</v>
      </c>
      <c r="E9" s="2">
        <v>18</v>
      </c>
      <c r="F9" s="2">
        <v>10</v>
      </c>
      <c r="G9" s="2" t="s">
        <v>24</v>
      </c>
      <c r="J9" s="44">
        <f t="shared" si="0"/>
        <v>180</v>
      </c>
    </row>
    <row r="10" spans="1:17" ht="14.4" x14ac:dyDescent="0.3">
      <c r="A10" s="2">
        <v>1009</v>
      </c>
      <c r="B10" s="3" t="s">
        <v>25</v>
      </c>
      <c r="C10" s="3" t="s">
        <v>7</v>
      </c>
      <c r="D10" s="3" t="s">
        <v>14</v>
      </c>
      <c r="E10" s="2">
        <v>22</v>
      </c>
      <c r="F10" s="2">
        <v>25</v>
      </c>
      <c r="G10" s="2" t="s">
        <v>26</v>
      </c>
      <c r="J10" s="44">
        <f t="shared" si="0"/>
        <v>550</v>
      </c>
    </row>
    <row r="11" spans="1:17" ht="14.4" x14ac:dyDescent="0.3">
      <c r="A11" s="2">
        <v>1010</v>
      </c>
      <c r="B11" s="3" t="s">
        <v>27</v>
      </c>
      <c r="C11" s="3" t="s">
        <v>10</v>
      </c>
      <c r="D11" s="3" t="s">
        <v>8</v>
      </c>
      <c r="E11" s="2">
        <v>8</v>
      </c>
      <c r="F11" s="2">
        <v>50</v>
      </c>
      <c r="G11" s="2" t="s">
        <v>28</v>
      </c>
      <c r="J11" s="44">
        <f t="shared" si="0"/>
        <v>400</v>
      </c>
    </row>
    <row r="12" spans="1:17" ht="14.4" x14ac:dyDescent="0.3">
      <c r="A12" s="2">
        <v>1011</v>
      </c>
      <c r="B12" s="3" t="s">
        <v>29</v>
      </c>
      <c r="C12" s="3" t="s">
        <v>13</v>
      </c>
      <c r="D12" s="3" t="s">
        <v>18</v>
      </c>
      <c r="E12" s="2">
        <v>40</v>
      </c>
      <c r="F12" s="2">
        <v>5</v>
      </c>
      <c r="G12" s="2" t="s">
        <v>30</v>
      </c>
      <c r="J12" s="44">
        <f t="shared" si="0"/>
        <v>200</v>
      </c>
    </row>
    <row r="13" spans="1:17" ht="14.4" x14ac:dyDescent="0.3">
      <c r="A13" s="2">
        <v>1012</v>
      </c>
      <c r="B13" s="3" t="s">
        <v>31</v>
      </c>
      <c r="C13" s="3" t="s">
        <v>16</v>
      </c>
      <c r="D13" s="3" t="s">
        <v>21</v>
      </c>
      <c r="E13" s="2">
        <v>35</v>
      </c>
      <c r="F13" s="2">
        <v>8</v>
      </c>
      <c r="G13" s="2" t="s">
        <v>32</v>
      </c>
      <c r="J13" s="44">
        <f t="shared" si="0"/>
        <v>280</v>
      </c>
    </row>
    <row r="14" spans="1:17" ht="14.4" x14ac:dyDescent="0.3">
      <c r="A14" s="2">
        <v>1013</v>
      </c>
      <c r="B14" s="3" t="s">
        <v>33</v>
      </c>
      <c r="C14" s="3" t="s">
        <v>7</v>
      </c>
      <c r="D14" s="3" t="s">
        <v>8</v>
      </c>
      <c r="E14" s="2">
        <v>14</v>
      </c>
      <c r="F14" s="2">
        <v>50</v>
      </c>
      <c r="G14" s="2" t="s">
        <v>34</v>
      </c>
      <c r="J14" s="44">
        <f t="shared" si="0"/>
        <v>700</v>
      </c>
    </row>
    <row r="15" spans="1:17" ht="14.4" x14ac:dyDescent="0.3">
      <c r="A15" s="2">
        <v>1014</v>
      </c>
      <c r="B15" s="3" t="s">
        <v>35</v>
      </c>
      <c r="C15" s="3" t="s">
        <v>10</v>
      </c>
      <c r="D15" s="3" t="s">
        <v>11</v>
      </c>
      <c r="E15" s="2">
        <v>28</v>
      </c>
      <c r="F15" s="2">
        <v>10</v>
      </c>
      <c r="G15" s="2" t="s">
        <v>36</v>
      </c>
      <c r="J15" s="44">
        <f t="shared" si="0"/>
        <v>280</v>
      </c>
    </row>
    <row r="16" spans="1:17" ht="14.4" x14ac:dyDescent="0.3">
      <c r="A16" s="2">
        <v>1015</v>
      </c>
      <c r="B16" s="3" t="s">
        <v>37</v>
      </c>
      <c r="C16" s="3" t="s">
        <v>13</v>
      </c>
      <c r="D16" s="3" t="s">
        <v>14</v>
      </c>
      <c r="E16" s="2">
        <v>12</v>
      </c>
      <c r="F16" s="2">
        <v>25</v>
      </c>
      <c r="G16" s="2" t="s">
        <v>38</v>
      </c>
      <c r="J16" s="44">
        <f t="shared" si="0"/>
        <v>300</v>
      </c>
    </row>
    <row r="17" spans="1:10" ht="14.4" x14ac:dyDescent="0.3">
      <c r="A17" s="2">
        <v>1016</v>
      </c>
      <c r="B17" s="3" t="s">
        <v>39</v>
      </c>
      <c r="C17" s="3" t="s">
        <v>16</v>
      </c>
      <c r="D17" s="3" t="s">
        <v>18</v>
      </c>
      <c r="E17" s="2">
        <v>25</v>
      </c>
      <c r="F17" s="2">
        <v>5</v>
      </c>
      <c r="G17" s="2" t="s">
        <v>40</v>
      </c>
      <c r="J17" s="44">
        <f t="shared" si="0"/>
        <v>125</v>
      </c>
    </row>
    <row r="18" spans="1:10" ht="14.4" x14ac:dyDescent="0.3">
      <c r="A18" s="2">
        <v>1017</v>
      </c>
      <c r="B18" s="3" t="s">
        <v>41</v>
      </c>
      <c r="C18" s="3" t="s">
        <v>7</v>
      </c>
      <c r="D18" s="3" t="s">
        <v>21</v>
      </c>
      <c r="E18" s="2">
        <v>20</v>
      </c>
      <c r="F18" s="2">
        <v>8</v>
      </c>
      <c r="G18" s="2" t="s">
        <v>42</v>
      </c>
      <c r="J18" s="44">
        <f t="shared" si="0"/>
        <v>160</v>
      </c>
    </row>
    <row r="19" spans="1:10" ht="14.4" x14ac:dyDescent="0.3">
      <c r="A19" s="2">
        <v>1018</v>
      </c>
      <c r="B19" s="3" t="s">
        <v>43</v>
      </c>
      <c r="C19" s="3" t="s">
        <v>10</v>
      </c>
      <c r="D19" s="3" t="s">
        <v>8</v>
      </c>
      <c r="E19" s="2">
        <v>10</v>
      </c>
      <c r="F19" s="2">
        <v>50</v>
      </c>
      <c r="G19" s="2" t="s">
        <v>44</v>
      </c>
      <c r="J19" s="44">
        <f t="shared" si="0"/>
        <v>500</v>
      </c>
    </row>
    <row r="20" spans="1:10" ht="14.4" x14ac:dyDescent="0.3">
      <c r="A20" s="2">
        <v>1019</v>
      </c>
      <c r="B20" s="3" t="s">
        <v>45</v>
      </c>
      <c r="C20" s="3" t="s">
        <v>13</v>
      </c>
      <c r="D20" s="3" t="s">
        <v>11</v>
      </c>
      <c r="E20" s="2">
        <v>15</v>
      </c>
      <c r="F20" s="2">
        <v>10</v>
      </c>
      <c r="G20" s="2" t="s">
        <v>46</v>
      </c>
      <c r="J20" s="44">
        <f t="shared" si="0"/>
        <v>150</v>
      </c>
    </row>
    <row r="21" spans="1:10" ht="14.4" x14ac:dyDescent="0.3">
      <c r="A21" s="2">
        <v>1020</v>
      </c>
      <c r="B21" s="3" t="s">
        <v>47</v>
      </c>
      <c r="C21" s="3" t="s">
        <v>16</v>
      </c>
      <c r="D21" s="3" t="s">
        <v>14</v>
      </c>
      <c r="E21" s="2">
        <v>18</v>
      </c>
      <c r="F21" s="2">
        <v>25</v>
      </c>
      <c r="G21" s="4">
        <v>45293</v>
      </c>
      <c r="J21" s="44">
        <f t="shared" si="0"/>
        <v>450</v>
      </c>
    </row>
    <row r="22" spans="1:10" ht="14.4" x14ac:dyDescent="0.3">
      <c r="A22" s="2">
        <v>1021</v>
      </c>
      <c r="B22" s="3" t="s">
        <v>48</v>
      </c>
      <c r="C22" s="3" t="s">
        <v>7</v>
      </c>
      <c r="D22" s="3" t="s">
        <v>8</v>
      </c>
      <c r="E22" s="2">
        <v>9</v>
      </c>
      <c r="F22" s="2">
        <v>50</v>
      </c>
      <c r="G22" s="4">
        <v>45324</v>
      </c>
      <c r="J22" s="44">
        <f t="shared" si="0"/>
        <v>450</v>
      </c>
    </row>
    <row r="23" spans="1:10" ht="14.4" x14ac:dyDescent="0.3">
      <c r="A23" s="2">
        <v>1022</v>
      </c>
      <c r="B23" s="3" t="s">
        <v>49</v>
      </c>
      <c r="C23" s="3" t="s">
        <v>10</v>
      </c>
      <c r="D23" s="3" t="s">
        <v>18</v>
      </c>
      <c r="E23" s="2">
        <v>35</v>
      </c>
      <c r="F23" s="2">
        <v>5</v>
      </c>
      <c r="G23" s="4">
        <v>45353</v>
      </c>
      <c r="J23" s="44">
        <f t="shared" si="0"/>
        <v>175</v>
      </c>
    </row>
    <row r="24" spans="1:10" ht="14.4" x14ac:dyDescent="0.3">
      <c r="A24" s="2">
        <v>1023</v>
      </c>
      <c r="B24" s="3" t="s">
        <v>50</v>
      </c>
      <c r="C24" s="3" t="s">
        <v>13</v>
      </c>
      <c r="D24" s="3" t="s">
        <v>21</v>
      </c>
      <c r="E24" s="2">
        <v>30</v>
      </c>
      <c r="F24" s="2">
        <v>8</v>
      </c>
      <c r="G24" s="4">
        <v>45384</v>
      </c>
      <c r="J24" s="44">
        <f t="shared" si="0"/>
        <v>240</v>
      </c>
    </row>
    <row r="25" spans="1:10" ht="14.4" x14ac:dyDescent="0.3">
      <c r="A25" s="2">
        <v>1024</v>
      </c>
      <c r="B25" s="3" t="s">
        <v>51</v>
      </c>
      <c r="C25" s="3" t="s">
        <v>16</v>
      </c>
      <c r="D25" s="3" t="s">
        <v>8</v>
      </c>
      <c r="E25" s="2">
        <v>11</v>
      </c>
      <c r="F25" s="2">
        <v>50</v>
      </c>
      <c r="G25" s="4">
        <v>45445</v>
      </c>
      <c r="J25" s="44">
        <f t="shared" si="0"/>
        <v>550</v>
      </c>
    </row>
    <row r="26" spans="1:10" ht="14.4" x14ac:dyDescent="0.3">
      <c r="A26" s="2">
        <v>1025</v>
      </c>
      <c r="B26" s="3" t="s">
        <v>52</v>
      </c>
      <c r="C26" s="3" t="s">
        <v>7</v>
      </c>
      <c r="D26" s="3" t="s">
        <v>11</v>
      </c>
      <c r="E26" s="2">
        <v>14</v>
      </c>
      <c r="F26" s="2">
        <v>10</v>
      </c>
      <c r="G26" s="4">
        <v>45475</v>
      </c>
      <c r="J26" s="44">
        <f t="shared" si="0"/>
        <v>140</v>
      </c>
    </row>
    <row r="27" spans="1:10" ht="14.4" x14ac:dyDescent="0.3">
      <c r="A27" s="2">
        <v>1026</v>
      </c>
      <c r="B27" s="3" t="s">
        <v>53</v>
      </c>
      <c r="C27" s="3" t="s">
        <v>10</v>
      </c>
      <c r="D27" s="3" t="s">
        <v>14</v>
      </c>
      <c r="E27" s="2">
        <v>16</v>
      </c>
      <c r="F27" s="2">
        <v>25</v>
      </c>
      <c r="G27" s="4">
        <v>45506</v>
      </c>
      <c r="J27" s="44">
        <f t="shared" si="0"/>
        <v>400</v>
      </c>
    </row>
    <row r="28" spans="1:10" ht="14.4" x14ac:dyDescent="0.3">
      <c r="A28" s="2">
        <v>1027</v>
      </c>
      <c r="B28" s="3" t="s">
        <v>54</v>
      </c>
      <c r="C28" s="3" t="s">
        <v>13</v>
      </c>
      <c r="D28" s="3" t="s">
        <v>18</v>
      </c>
      <c r="E28" s="2">
        <v>22</v>
      </c>
      <c r="F28" s="2">
        <v>5</v>
      </c>
      <c r="G28" s="4">
        <v>45537</v>
      </c>
      <c r="J28" s="44">
        <f t="shared" si="0"/>
        <v>110</v>
      </c>
    </row>
    <row r="29" spans="1:10" ht="14.4" x14ac:dyDescent="0.3">
      <c r="A29" s="2">
        <v>1028</v>
      </c>
      <c r="B29" s="3" t="s">
        <v>55</v>
      </c>
      <c r="C29" s="3" t="s">
        <v>16</v>
      </c>
      <c r="D29" s="3" t="s">
        <v>21</v>
      </c>
      <c r="E29" s="2">
        <v>27</v>
      </c>
      <c r="F29" s="2">
        <v>8</v>
      </c>
      <c r="G29" s="4">
        <v>45567</v>
      </c>
      <c r="J29" s="44">
        <f t="shared" si="0"/>
        <v>216</v>
      </c>
    </row>
    <row r="30" spans="1:10" ht="14.4" x14ac:dyDescent="0.3">
      <c r="A30" s="2">
        <v>1029</v>
      </c>
      <c r="B30" s="3" t="s">
        <v>56</v>
      </c>
      <c r="C30" s="3" t="s">
        <v>7</v>
      </c>
      <c r="D30" s="3" t="s">
        <v>8</v>
      </c>
      <c r="E30" s="2">
        <v>13</v>
      </c>
      <c r="F30" s="2">
        <v>50</v>
      </c>
      <c r="G30" s="4">
        <v>45628</v>
      </c>
      <c r="J30" s="44">
        <f t="shared" si="0"/>
        <v>650</v>
      </c>
    </row>
    <row r="31" spans="1:10" ht="14.4" x14ac:dyDescent="0.3">
      <c r="A31" s="2">
        <v>1030</v>
      </c>
      <c r="B31" s="3" t="s">
        <v>57</v>
      </c>
      <c r="C31" s="3" t="s">
        <v>10</v>
      </c>
      <c r="D31" s="3" t="s">
        <v>11</v>
      </c>
      <c r="E31" s="2">
        <v>32</v>
      </c>
      <c r="F31" s="2">
        <v>10</v>
      </c>
      <c r="G31" s="2" t="s">
        <v>58</v>
      </c>
      <c r="J31" s="44">
        <f t="shared" si="0"/>
        <v>320</v>
      </c>
    </row>
    <row r="32" spans="1:10" ht="14.4" x14ac:dyDescent="0.3">
      <c r="A32" s="2">
        <v>1031</v>
      </c>
      <c r="B32" s="3" t="s">
        <v>59</v>
      </c>
      <c r="C32" s="3" t="s">
        <v>13</v>
      </c>
      <c r="D32" s="3" t="s">
        <v>14</v>
      </c>
      <c r="E32" s="2">
        <v>10</v>
      </c>
      <c r="F32" s="2">
        <v>25</v>
      </c>
      <c r="G32" s="2" t="s">
        <v>60</v>
      </c>
      <c r="J32" s="44">
        <f t="shared" si="0"/>
        <v>250</v>
      </c>
    </row>
    <row r="33" spans="1:10" ht="14.4" x14ac:dyDescent="0.3">
      <c r="A33" s="2">
        <v>1032</v>
      </c>
      <c r="B33" s="3" t="s">
        <v>61</v>
      </c>
      <c r="C33" s="3" t="s">
        <v>16</v>
      </c>
      <c r="D33" s="3" t="s">
        <v>18</v>
      </c>
      <c r="E33" s="2">
        <v>18</v>
      </c>
      <c r="F33" s="2">
        <v>5</v>
      </c>
      <c r="G33" s="2" t="s">
        <v>62</v>
      </c>
      <c r="J33" s="44">
        <f t="shared" si="0"/>
        <v>90</v>
      </c>
    </row>
    <row r="34" spans="1:10" ht="14.4" x14ac:dyDescent="0.3">
      <c r="A34" s="2">
        <v>1033</v>
      </c>
      <c r="B34" s="3" t="s">
        <v>63</v>
      </c>
      <c r="C34" s="3" t="s">
        <v>7</v>
      </c>
      <c r="D34" s="3" t="s">
        <v>21</v>
      </c>
      <c r="E34" s="2">
        <v>22</v>
      </c>
      <c r="F34" s="2">
        <v>8</v>
      </c>
      <c r="G34" s="2" t="s">
        <v>64</v>
      </c>
      <c r="J34" s="44">
        <f t="shared" si="0"/>
        <v>176</v>
      </c>
    </row>
    <row r="35" spans="1:10" ht="14.4" x14ac:dyDescent="0.3">
      <c r="A35" s="2">
        <v>1034</v>
      </c>
      <c r="B35" s="3" t="s">
        <v>65</v>
      </c>
      <c r="C35" s="3" t="s">
        <v>10</v>
      </c>
      <c r="D35" s="3" t="s">
        <v>8</v>
      </c>
      <c r="E35" s="2">
        <v>17</v>
      </c>
      <c r="F35" s="2">
        <v>50</v>
      </c>
      <c r="G35" s="2" t="s">
        <v>66</v>
      </c>
      <c r="J35" s="44">
        <f t="shared" si="0"/>
        <v>850</v>
      </c>
    </row>
    <row r="36" spans="1:10" ht="14.4" x14ac:dyDescent="0.3">
      <c r="A36" s="2">
        <v>1035</v>
      </c>
      <c r="B36" s="3" t="s">
        <v>67</v>
      </c>
      <c r="C36" s="3" t="s">
        <v>13</v>
      </c>
      <c r="D36" s="3" t="s">
        <v>11</v>
      </c>
      <c r="E36" s="2">
        <v>19</v>
      </c>
      <c r="F36" s="2">
        <v>10</v>
      </c>
      <c r="G36" s="2" t="s">
        <v>68</v>
      </c>
      <c r="J36" s="44">
        <f t="shared" si="0"/>
        <v>190</v>
      </c>
    </row>
    <row r="37" spans="1:10" ht="14.4" x14ac:dyDescent="0.3">
      <c r="A37" s="2">
        <v>1036</v>
      </c>
      <c r="B37" s="3" t="s">
        <v>69</v>
      </c>
      <c r="C37" s="3" t="s">
        <v>16</v>
      </c>
      <c r="D37" s="3" t="s">
        <v>14</v>
      </c>
      <c r="E37" s="2">
        <v>15</v>
      </c>
      <c r="F37" s="2">
        <v>25</v>
      </c>
      <c r="G37" s="2" t="s">
        <v>70</v>
      </c>
      <c r="J37" s="44">
        <f t="shared" si="0"/>
        <v>375</v>
      </c>
    </row>
    <row r="38" spans="1:10" ht="14.4" x14ac:dyDescent="0.3">
      <c r="A38" s="2">
        <v>1037</v>
      </c>
      <c r="B38" s="3" t="s">
        <v>71</v>
      </c>
      <c r="C38" s="3" t="s">
        <v>7</v>
      </c>
      <c r="D38" s="3" t="s">
        <v>18</v>
      </c>
      <c r="E38" s="2">
        <v>28</v>
      </c>
      <c r="F38" s="2">
        <v>5</v>
      </c>
      <c r="G38" s="2" t="s">
        <v>72</v>
      </c>
      <c r="J38" s="44">
        <f t="shared" si="0"/>
        <v>140</v>
      </c>
    </row>
    <row r="39" spans="1:10" ht="14.4" x14ac:dyDescent="0.3">
      <c r="A39" s="2">
        <v>1038</v>
      </c>
      <c r="B39" s="3" t="s">
        <v>73</v>
      </c>
      <c r="C39" s="3" t="s">
        <v>10</v>
      </c>
      <c r="D39" s="3" t="s">
        <v>21</v>
      </c>
      <c r="E39" s="2">
        <v>24</v>
      </c>
      <c r="F39" s="2">
        <v>8</v>
      </c>
      <c r="G39" s="2" t="s">
        <v>74</v>
      </c>
      <c r="J39" s="44">
        <f t="shared" si="0"/>
        <v>192</v>
      </c>
    </row>
    <row r="40" spans="1:10" ht="14.4" x14ac:dyDescent="0.3">
      <c r="A40" s="2">
        <v>1039</v>
      </c>
      <c r="B40" s="3" t="s">
        <v>75</v>
      </c>
      <c r="C40" s="3" t="s">
        <v>13</v>
      </c>
      <c r="D40" s="3" t="s">
        <v>8</v>
      </c>
      <c r="E40" s="2">
        <v>16</v>
      </c>
      <c r="F40" s="2">
        <v>50</v>
      </c>
      <c r="G40" s="2" t="s">
        <v>76</v>
      </c>
      <c r="J40" s="44">
        <f t="shared" si="0"/>
        <v>800</v>
      </c>
    </row>
    <row r="41" spans="1:10" ht="14.4" x14ac:dyDescent="0.3">
      <c r="A41" s="2">
        <v>1040</v>
      </c>
      <c r="B41" s="3" t="s">
        <v>77</v>
      </c>
      <c r="C41" s="3" t="s">
        <v>16</v>
      </c>
      <c r="D41" s="3" t="s">
        <v>11</v>
      </c>
      <c r="E41" s="2">
        <v>27</v>
      </c>
      <c r="F41" s="2">
        <v>10</v>
      </c>
      <c r="G41" s="2" t="s">
        <v>78</v>
      </c>
      <c r="J41" s="44">
        <f t="shared" si="0"/>
        <v>270</v>
      </c>
    </row>
    <row r="42" spans="1:10" ht="14.4" x14ac:dyDescent="0.3">
      <c r="A42" s="2">
        <v>1041</v>
      </c>
      <c r="B42" s="3" t="s">
        <v>79</v>
      </c>
      <c r="C42" s="3" t="s">
        <v>7</v>
      </c>
      <c r="D42" s="3" t="s">
        <v>14</v>
      </c>
      <c r="E42" s="2">
        <v>21</v>
      </c>
      <c r="F42" s="2">
        <v>25</v>
      </c>
      <c r="G42" s="2" t="s">
        <v>80</v>
      </c>
      <c r="J42" s="44">
        <f t="shared" si="0"/>
        <v>525</v>
      </c>
    </row>
    <row r="43" spans="1:10" ht="14.4" x14ac:dyDescent="0.3">
      <c r="A43" s="2">
        <v>1042</v>
      </c>
      <c r="B43" s="3" t="s">
        <v>81</v>
      </c>
      <c r="C43" s="3" t="s">
        <v>10</v>
      </c>
      <c r="D43" s="3" t="s">
        <v>18</v>
      </c>
      <c r="E43" s="2">
        <v>30</v>
      </c>
      <c r="F43" s="2">
        <v>5</v>
      </c>
      <c r="G43" s="2" t="s">
        <v>82</v>
      </c>
      <c r="J43" s="44">
        <f t="shared" si="0"/>
        <v>150</v>
      </c>
    </row>
    <row r="44" spans="1:10" ht="14.4" x14ac:dyDescent="0.3">
      <c r="A44" s="2">
        <v>1043</v>
      </c>
      <c r="B44" s="3" t="s">
        <v>83</v>
      </c>
      <c r="C44" s="3" t="s">
        <v>13</v>
      </c>
      <c r="D44" s="3" t="s">
        <v>21</v>
      </c>
      <c r="E44" s="2">
        <v>26</v>
      </c>
      <c r="F44" s="2">
        <v>8</v>
      </c>
      <c r="G44" s="4">
        <v>45294</v>
      </c>
      <c r="J44" s="44">
        <f t="shared" si="0"/>
        <v>208</v>
      </c>
    </row>
    <row r="45" spans="1:10" ht="14.4" x14ac:dyDescent="0.3">
      <c r="A45" s="2">
        <v>1044</v>
      </c>
      <c r="B45" s="3" t="s">
        <v>84</v>
      </c>
      <c r="C45" s="3" t="s">
        <v>16</v>
      </c>
      <c r="D45" s="3" t="s">
        <v>8</v>
      </c>
      <c r="E45" s="2">
        <v>14</v>
      </c>
      <c r="F45" s="2">
        <v>50</v>
      </c>
      <c r="G45" s="4">
        <v>45325</v>
      </c>
      <c r="J45" s="44">
        <f t="shared" si="0"/>
        <v>700</v>
      </c>
    </row>
    <row r="46" spans="1:10" ht="14.4" x14ac:dyDescent="0.3">
      <c r="A46" s="2">
        <v>1045</v>
      </c>
      <c r="B46" s="3" t="s">
        <v>85</v>
      </c>
      <c r="C46" s="3" t="s">
        <v>7</v>
      </c>
      <c r="D46" s="3" t="s">
        <v>11</v>
      </c>
      <c r="E46" s="2">
        <v>20</v>
      </c>
      <c r="F46" s="2">
        <v>10</v>
      </c>
      <c r="G46" s="4">
        <v>45354</v>
      </c>
      <c r="J46" s="44">
        <f t="shared" si="0"/>
        <v>200</v>
      </c>
    </row>
    <row r="47" spans="1:10" ht="14.4" x14ac:dyDescent="0.3">
      <c r="A47" s="2">
        <v>1046</v>
      </c>
      <c r="B47" s="3" t="s">
        <v>86</v>
      </c>
      <c r="C47" s="3" t="s">
        <v>10</v>
      </c>
      <c r="D47" s="3" t="s">
        <v>14</v>
      </c>
      <c r="E47" s="2">
        <v>17</v>
      </c>
      <c r="F47" s="2">
        <v>25</v>
      </c>
      <c r="G47" s="4">
        <v>45385</v>
      </c>
      <c r="J47" s="44">
        <f t="shared" si="0"/>
        <v>425</v>
      </c>
    </row>
    <row r="48" spans="1:10" ht="14.4" x14ac:dyDescent="0.3">
      <c r="A48" s="2">
        <v>1047</v>
      </c>
      <c r="B48" s="3" t="s">
        <v>87</v>
      </c>
      <c r="C48" s="3" t="s">
        <v>13</v>
      </c>
      <c r="D48" s="3" t="s">
        <v>18</v>
      </c>
      <c r="E48" s="2">
        <v>19</v>
      </c>
      <c r="F48" s="2">
        <v>5</v>
      </c>
      <c r="G48" s="4">
        <v>45415</v>
      </c>
      <c r="J48" s="44">
        <f t="shared" si="0"/>
        <v>95</v>
      </c>
    </row>
    <row r="49" spans="1:10" ht="14.4" x14ac:dyDescent="0.3">
      <c r="A49" s="2">
        <v>1048</v>
      </c>
      <c r="B49" s="3" t="s">
        <v>88</v>
      </c>
      <c r="C49" s="3" t="s">
        <v>16</v>
      </c>
      <c r="D49" s="3" t="s">
        <v>21</v>
      </c>
      <c r="E49" s="2">
        <v>32</v>
      </c>
      <c r="F49" s="2">
        <v>8</v>
      </c>
      <c r="G49" s="4">
        <v>45446</v>
      </c>
      <c r="J49" s="44">
        <f t="shared" si="0"/>
        <v>256</v>
      </c>
    </row>
    <row r="50" spans="1:10" ht="14.4" x14ac:dyDescent="0.3">
      <c r="A50" s="2">
        <v>1049</v>
      </c>
      <c r="B50" s="3" t="s">
        <v>89</v>
      </c>
      <c r="C50" s="3" t="s">
        <v>7</v>
      </c>
      <c r="D50" s="3" t="s">
        <v>8</v>
      </c>
      <c r="E50" s="2">
        <v>12</v>
      </c>
      <c r="F50" s="2">
        <v>50</v>
      </c>
      <c r="G50" s="4">
        <v>45476</v>
      </c>
      <c r="J50" s="44">
        <f t="shared" si="0"/>
        <v>600</v>
      </c>
    </row>
    <row r="51" spans="1:10" ht="14.4" x14ac:dyDescent="0.3">
      <c r="A51" s="2">
        <v>1050</v>
      </c>
      <c r="B51" s="3" t="s">
        <v>90</v>
      </c>
      <c r="C51" s="3" t="s">
        <v>10</v>
      </c>
      <c r="D51" s="3" t="s">
        <v>11</v>
      </c>
      <c r="E51" s="2">
        <v>25</v>
      </c>
      <c r="F51" s="2">
        <v>10</v>
      </c>
      <c r="G51" s="4">
        <v>45507</v>
      </c>
      <c r="J51" s="44">
        <f t="shared" si="0"/>
        <v>250</v>
      </c>
    </row>
  </sheetData>
  <pageMargins left="0.7" right="0.7" top="0.75" bottom="0.75" header="0.3" footer="0.3"/>
  <ignoredErrors>
    <ignoredError sqref="J21 J2:J7 J44:J51 J22:J30" formulaRange="1"/>
  </ignoredErrors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8519AB5A-CA40-4C13-B1A8-18C84ED29880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'Q5 ans'!D1:D51</xm:f>
              <xm:sqref>E1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1F44-8C0D-4B80-A778-84B80C8C88A5}">
  <dimension ref="A1:Q51"/>
  <sheetViews>
    <sheetView topLeftCell="J1" workbookViewId="0">
      <selection sqref="A1:T53"/>
    </sheetView>
  </sheetViews>
  <sheetFormatPr defaultRowHeight="13.2" x14ac:dyDescent="0.25"/>
  <cols>
    <col min="1" max="1" width="11.109375" bestFit="1" customWidth="1"/>
    <col min="2" max="2" width="20.88671875" bestFit="1" customWidth="1"/>
    <col min="3" max="3" width="9.88671875" bestFit="1" customWidth="1"/>
    <col min="4" max="4" width="10.88671875" bestFit="1" customWidth="1"/>
    <col min="5" max="5" width="13.109375" bestFit="1" customWidth="1"/>
    <col min="6" max="6" width="12.6640625" bestFit="1" customWidth="1"/>
    <col min="7" max="7" width="14.44140625" bestFit="1" customWidth="1"/>
    <col min="10" max="10" width="14.6640625" customWidth="1"/>
    <col min="12" max="12" width="13.5546875" bestFit="1" customWidth="1"/>
    <col min="13" max="13" width="97.44140625" bestFit="1" customWidth="1"/>
  </cols>
  <sheetData>
    <row r="1" spans="1:17" ht="24.6" x14ac:dyDescent="0.4">
      <c r="A1" s="41" t="s">
        <v>0</v>
      </c>
      <c r="B1" s="41" t="s">
        <v>1</v>
      </c>
      <c r="C1" s="41" t="s">
        <v>2</v>
      </c>
      <c r="D1" s="41" t="s">
        <v>3</v>
      </c>
      <c r="E1" s="42" t="s">
        <v>4</v>
      </c>
      <c r="F1" s="41" t="s">
        <v>5</v>
      </c>
      <c r="G1" s="41" t="s">
        <v>6</v>
      </c>
      <c r="J1" s="43" t="s">
        <v>132</v>
      </c>
      <c r="N1" s="39"/>
      <c r="O1" s="39"/>
      <c r="P1" s="39"/>
      <c r="Q1" s="39"/>
    </row>
    <row r="2" spans="1:17" ht="14.4" x14ac:dyDescent="0.3">
      <c r="A2" s="2">
        <v>1001</v>
      </c>
      <c r="B2" s="3" t="s">
        <v>111</v>
      </c>
      <c r="C2" s="3" t="s">
        <v>7</v>
      </c>
      <c r="D2" s="3" t="s">
        <v>8</v>
      </c>
      <c r="E2" s="2">
        <v>10</v>
      </c>
      <c r="F2" s="2">
        <v>50</v>
      </c>
      <c r="G2" s="4">
        <v>45413</v>
      </c>
      <c r="J2" s="44">
        <f>PRODUCT(E2:F2)</f>
        <v>500</v>
      </c>
    </row>
    <row r="3" spans="1:17" ht="24.6" x14ac:dyDescent="0.4">
      <c r="A3" s="2">
        <v>1002</v>
      </c>
      <c r="B3" s="3" t="s">
        <v>9</v>
      </c>
      <c r="C3" s="3" t="s">
        <v>10</v>
      </c>
      <c r="D3" s="3" t="s">
        <v>11</v>
      </c>
      <c r="E3" s="2">
        <v>20</v>
      </c>
      <c r="F3" s="2">
        <v>10</v>
      </c>
      <c r="G3" s="4">
        <v>45444</v>
      </c>
      <c r="J3" s="44">
        <f t="shared" ref="J3:J51" si="0">PRODUCT(E3:F3)</f>
        <v>200</v>
      </c>
      <c r="K3" s="57" t="s">
        <v>136</v>
      </c>
      <c r="L3" s="57" t="s">
        <v>135</v>
      </c>
      <c r="M3" s="54"/>
    </row>
    <row r="4" spans="1:17" ht="17.399999999999999" x14ac:dyDescent="0.3">
      <c r="A4" s="2">
        <v>1003</v>
      </c>
      <c r="B4" s="3" t="s">
        <v>12</v>
      </c>
      <c r="C4" s="3" t="s">
        <v>13</v>
      </c>
      <c r="D4" s="3" t="s">
        <v>14</v>
      </c>
      <c r="E4" s="2">
        <v>15</v>
      </c>
      <c r="F4" s="2">
        <v>25</v>
      </c>
      <c r="G4" s="4">
        <v>45474</v>
      </c>
      <c r="I4" s="45" t="s">
        <v>133</v>
      </c>
      <c r="J4" s="44">
        <f t="shared" si="0"/>
        <v>375</v>
      </c>
    </row>
    <row r="5" spans="1:17" ht="14.4" x14ac:dyDescent="0.3">
      <c r="A5" s="2">
        <v>1004</v>
      </c>
      <c r="B5" s="3" t="s">
        <v>15</v>
      </c>
      <c r="C5" s="3" t="s">
        <v>16</v>
      </c>
      <c r="D5" s="3" t="s">
        <v>8</v>
      </c>
      <c r="E5" s="2">
        <v>5</v>
      </c>
      <c r="F5" s="2">
        <v>50</v>
      </c>
      <c r="G5" s="4">
        <v>45505</v>
      </c>
      <c r="J5" s="44">
        <f t="shared" si="0"/>
        <v>250</v>
      </c>
      <c r="L5" s="26" t="s">
        <v>137</v>
      </c>
      <c r="M5" s="26"/>
    </row>
    <row r="6" spans="1:17" ht="14.4" x14ac:dyDescent="0.3">
      <c r="A6" s="2">
        <v>1005</v>
      </c>
      <c r="B6" s="3" t="s">
        <v>17</v>
      </c>
      <c r="C6" s="3" t="s">
        <v>7</v>
      </c>
      <c r="D6" s="3" t="s">
        <v>18</v>
      </c>
      <c r="E6" s="2">
        <v>30</v>
      </c>
      <c r="F6" s="2">
        <v>5</v>
      </c>
      <c r="G6" s="4">
        <v>45566</v>
      </c>
      <c r="J6" s="44">
        <f t="shared" si="0"/>
        <v>150</v>
      </c>
      <c r="L6" s="26" t="s">
        <v>138</v>
      </c>
      <c r="M6" s="47">
        <f>SUMIFS(J2:J51,D2:D51,"Notebook",C2:C51,"North")</f>
        <v>2900</v>
      </c>
    </row>
    <row r="7" spans="1:17" ht="14.4" x14ac:dyDescent="0.3">
      <c r="A7" s="2">
        <v>1006</v>
      </c>
      <c r="B7" s="3" t="s">
        <v>19</v>
      </c>
      <c r="C7" s="3" t="s">
        <v>10</v>
      </c>
      <c r="D7" s="3" t="s">
        <v>8</v>
      </c>
      <c r="E7" s="2">
        <v>12</v>
      </c>
      <c r="F7" s="2">
        <v>50</v>
      </c>
      <c r="G7" s="4">
        <v>45597</v>
      </c>
      <c r="J7" s="44">
        <f t="shared" si="0"/>
        <v>600</v>
      </c>
    </row>
    <row r="8" spans="1:17" ht="14.4" x14ac:dyDescent="0.3">
      <c r="A8" s="2">
        <v>1007</v>
      </c>
      <c r="B8" s="3" t="s">
        <v>20</v>
      </c>
      <c r="C8" s="3" t="s">
        <v>13</v>
      </c>
      <c r="D8" s="3" t="s">
        <v>21</v>
      </c>
      <c r="E8" s="2">
        <v>25</v>
      </c>
      <c r="F8" s="2">
        <v>8</v>
      </c>
      <c r="G8" s="2" t="s">
        <v>22</v>
      </c>
      <c r="J8" s="44">
        <f t="shared" si="0"/>
        <v>200</v>
      </c>
    </row>
    <row r="9" spans="1:17" ht="14.4" x14ac:dyDescent="0.3">
      <c r="A9" s="2">
        <v>1008</v>
      </c>
      <c r="B9" s="3" t="s">
        <v>23</v>
      </c>
      <c r="C9" s="3" t="s">
        <v>16</v>
      </c>
      <c r="D9" s="3" t="s">
        <v>11</v>
      </c>
      <c r="E9" s="2">
        <v>18</v>
      </c>
      <c r="F9" s="2">
        <v>10</v>
      </c>
      <c r="G9" s="2" t="s">
        <v>24</v>
      </c>
      <c r="J9" s="44">
        <f t="shared" si="0"/>
        <v>180</v>
      </c>
    </row>
    <row r="10" spans="1:17" ht="14.4" x14ac:dyDescent="0.3">
      <c r="A10" s="2">
        <v>1009</v>
      </c>
      <c r="B10" s="3" t="s">
        <v>25</v>
      </c>
      <c r="C10" s="3" t="s">
        <v>7</v>
      </c>
      <c r="D10" s="3" t="s">
        <v>14</v>
      </c>
      <c r="E10" s="2">
        <v>22</v>
      </c>
      <c r="F10" s="2">
        <v>25</v>
      </c>
      <c r="G10" s="2" t="s">
        <v>26</v>
      </c>
      <c r="J10" s="44">
        <f t="shared" si="0"/>
        <v>550</v>
      </c>
    </row>
    <row r="11" spans="1:17" ht="14.4" x14ac:dyDescent="0.3">
      <c r="A11" s="2">
        <v>1010</v>
      </c>
      <c r="B11" s="3" t="s">
        <v>27</v>
      </c>
      <c r="C11" s="3" t="s">
        <v>10</v>
      </c>
      <c r="D11" s="3" t="s">
        <v>8</v>
      </c>
      <c r="E11" s="2">
        <v>8</v>
      </c>
      <c r="F11" s="2">
        <v>50</v>
      </c>
      <c r="G11" s="2" t="s">
        <v>28</v>
      </c>
      <c r="J11" s="44">
        <f t="shared" si="0"/>
        <v>400</v>
      </c>
    </row>
    <row r="12" spans="1:17" ht="14.4" x14ac:dyDescent="0.3">
      <c r="A12" s="2">
        <v>1011</v>
      </c>
      <c r="B12" s="3" t="s">
        <v>29</v>
      </c>
      <c r="C12" s="3" t="s">
        <v>13</v>
      </c>
      <c r="D12" s="3" t="s">
        <v>18</v>
      </c>
      <c r="E12" s="2">
        <v>40</v>
      </c>
      <c r="F12" s="2">
        <v>5</v>
      </c>
      <c r="G12" s="2" t="s">
        <v>30</v>
      </c>
      <c r="J12" s="44">
        <f t="shared" si="0"/>
        <v>200</v>
      </c>
    </row>
    <row r="13" spans="1:17" ht="14.4" x14ac:dyDescent="0.3">
      <c r="A13" s="2">
        <v>1012</v>
      </c>
      <c r="B13" s="3" t="s">
        <v>31</v>
      </c>
      <c r="C13" s="3" t="s">
        <v>16</v>
      </c>
      <c r="D13" s="3" t="s">
        <v>21</v>
      </c>
      <c r="E13" s="2">
        <v>35</v>
      </c>
      <c r="F13" s="2">
        <v>8</v>
      </c>
      <c r="G13" s="2" t="s">
        <v>32</v>
      </c>
      <c r="J13" s="44">
        <f t="shared" si="0"/>
        <v>280</v>
      </c>
    </row>
    <row r="14" spans="1:17" ht="14.4" x14ac:dyDescent="0.3">
      <c r="A14" s="2">
        <v>1013</v>
      </c>
      <c r="B14" s="3" t="s">
        <v>33</v>
      </c>
      <c r="C14" s="3" t="s">
        <v>7</v>
      </c>
      <c r="D14" s="3" t="s">
        <v>8</v>
      </c>
      <c r="E14" s="2">
        <v>14</v>
      </c>
      <c r="F14" s="2">
        <v>50</v>
      </c>
      <c r="G14" s="2" t="s">
        <v>34</v>
      </c>
      <c r="J14" s="44">
        <f t="shared" si="0"/>
        <v>700</v>
      </c>
    </row>
    <row r="15" spans="1:17" ht="14.4" x14ac:dyDescent="0.3">
      <c r="A15" s="2">
        <v>1014</v>
      </c>
      <c r="B15" s="3" t="s">
        <v>35</v>
      </c>
      <c r="C15" s="3" t="s">
        <v>10</v>
      </c>
      <c r="D15" s="3" t="s">
        <v>11</v>
      </c>
      <c r="E15" s="2">
        <v>28</v>
      </c>
      <c r="F15" s="2">
        <v>10</v>
      </c>
      <c r="G15" s="2" t="s">
        <v>36</v>
      </c>
      <c r="J15" s="44">
        <f t="shared" si="0"/>
        <v>280</v>
      </c>
    </row>
    <row r="16" spans="1:17" ht="14.4" x14ac:dyDescent="0.3">
      <c r="A16" s="2">
        <v>1015</v>
      </c>
      <c r="B16" s="3" t="s">
        <v>37</v>
      </c>
      <c r="C16" s="3" t="s">
        <v>13</v>
      </c>
      <c r="D16" s="3" t="s">
        <v>14</v>
      </c>
      <c r="E16" s="2">
        <v>12</v>
      </c>
      <c r="F16" s="2">
        <v>25</v>
      </c>
      <c r="G16" s="2" t="s">
        <v>38</v>
      </c>
      <c r="J16" s="44">
        <f t="shared" si="0"/>
        <v>300</v>
      </c>
    </row>
    <row r="17" spans="1:10" ht="14.4" x14ac:dyDescent="0.3">
      <c r="A17" s="2">
        <v>1016</v>
      </c>
      <c r="B17" s="3" t="s">
        <v>39</v>
      </c>
      <c r="C17" s="3" t="s">
        <v>16</v>
      </c>
      <c r="D17" s="3" t="s">
        <v>18</v>
      </c>
      <c r="E17" s="2">
        <v>25</v>
      </c>
      <c r="F17" s="2">
        <v>5</v>
      </c>
      <c r="G17" s="2" t="s">
        <v>40</v>
      </c>
      <c r="J17" s="44">
        <f t="shared" si="0"/>
        <v>125</v>
      </c>
    </row>
    <row r="18" spans="1:10" ht="14.4" x14ac:dyDescent="0.3">
      <c r="A18" s="2">
        <v>1017</v>
      </c>
      <c r="B18" s="3" t="s">
        <v>41</v>
      </c>
      <c r="C18" s="3" t="s">
        <v>7</v>
      </c>
      <c r="D18" s="3" t="s">
        <v>21</v>
      </c>
      <c r="E18" s="2">
        <v>20</v>
      </c>
      <c r="F18" s="2">
        <v>8</v>
      </c>
      <c r="G18" s="2" t="s">
        <v>42</v>
      </c>
      <c r="J18" s="44">
        <f t="shared" si="0"/>
        <v>160</v>
      </c>
    </row>
    <row r="19" spans="1:10" ht="14.4" x14ac:dyDescent="0.3">
      <c r="A19" s="2">
        <v>1018</v>
      </c>
      <c r="B19" s="3" t="s">
        <v>43</v>
      </c>
      <c r="C19" s="3" t="s">
        <v>10</v>
      </c>
      <c r="D19" s="3" t="s">
        <v>8</v>
      </c>
      <c r="E19" s="2">
        <v>10</v>
      </c>
      <c r="F19" s="2">
        <v>50</v>
      </c>
      <c r="G19" s="2" t="s">
        <v>44</v>
      </c>
      <c r="J19" s="44">
        <f t="shared" si="0"/>
        <v>500</v>
      </c>
    </row>
    <row r="20" spans="1:10" ht="14.4" x14ac:dyDescent="0.3">
      <c r="A20" s="2">
        <v>1019</v>
      </c>
      <c r="B20" s="3" t="s">
        <v>45</v>
      </c>
      <c r="C20" s="3" t="s">
        <v>13</v>
      </c>
      <c r="D20" s="3" t="s">
        <v>11</v>
      </c>
      <c r="E20" s="2">
        <v>15</v>
      </c>
      <c r="F20" s="2">
        <v>10</v>
      </c>
      <c r="G20" s="2" t="s">
        <v>46</v>
      </c>
      <c r="J20" s="44">
        <f t="shared" si="0"/>
        <v>150</v>
      </c>
    </row>
    <row r="21" spans="1:10" ht="14.4" x14ac:dyDescent="0.3">
      <c r="A21" s="2">
        <v>1020</v>
      </c>
      <c r="B21" s="3" t="s">
        <v>47</v>
      </c>
      <c r="C21" s="3" t="s">
        <v>16</v>
      </c>
      <c r="D21" s="3" t="s">
        <v>14</v>
      </c>
      <c r="E21" s="2">
        <v>18</v>
      </c>
      <c r="F21" s="2">
        <v>25</v>
      </c>
      <c r="G21" s="4">
        <v>45293</v>
      </c>
      <c r="J21" s="44">
        <f t="shared" si="0"/>
        <v>450</v>
      </c>
    </row>
    <row r="22" spans="1:10" ht="14.4" x14ac:dyDescent="0.3">
      <c r="A22" s="2">
        <v>1021</v>
      </c>
      <c r="B22" s="3" t="s">
        <v>48</v>
      </c>
      <c r="C22" s="3" t="s">
        <v>7</v>
      </c>
      <c r="D22" s="3" t="s">
        <v>8</v>
      </c>
      <c r="E22" s="2">
        <v>9</v>
      </c>
      <c r="F22" s="2">
        <v>50</v>
      </c>
      <c r="G22" s="4">
        <v>45324</v>
      </c>
      <c r="J22" s="44">
        <f t="shared" si="0"/>
        <v>450</v>
      </c>
    </row>
    <row r="23" spans="1:10" ht="14.4" x14ac:dyDescent="0.3">
      <c r="A23" s="2">
        <v>1022</v>
      </c>
      <c r="B23" s="3" t="s">
        <v>49</v>
      </c>
      <c r="C23" s="3" t="s">
        <v>10</v>
      </c>
      <c r="D23" s="3" t="s">
        <v>18</v>
      </c>
      <c r="E23" s="2">
        <v>35</v>
      </c>
      <c r="F23" s="2">
        <v>5</v>
      </c>
      <c r="G23" s="4">
        <v>45353</v>
      </c>
      <c r="J23" s="44">
        <f t="shared" si="0"/>
        <v>175</v>
      </c>
    </row>
    <row r="24" spans="1:10" ht="14.4" x14ac:dyDescent="0.3">
      <c r="A24" s="2">
        <v>1023</v>
      </c>
      <c r="B24" s="3" t="s">
        <v>50</v>
      </c>
      <c r="C24" s="3" t="s">
        <v>13</v>
      </c>
      <c r="D24" s="3" t="s">
        <v>21</v>
      </c>
      <c r="E24" s="2">
        <v>30</v>
      </c>
      <c r="F24" s="2">
        <v>8</v>
      </c>
      <c r="G24" s="4">
        <v>45384</v>
      </c>
      <c r="J24" s="44">
        <f t="shared" si="0"/>
        <v>240</v>
      </c>
    </row>
    <row r="25" spans="1:10" ht="14.4" x14ac:dyDescent="0.3">
      <c r="A25" s="2">
        <v>1024</v>
      </c>
      <c r="B25" s="3" t="s">
        <v>51</v>
      </c>
      <c r="C25" s="3" t="s">
        <v>16</v>
      </c>
      <c r="D25" s="3" t="s">
        <v>8</v>
      </c>
      <c r="E25" s="2">
        <v>11</v>
      </c>
      <c r="F25" s="2">
        <v>50</v>
      </c>
      <c r="G25" s="4">
        <v>45445</v>
      </c>
      <c r="J25" s="44">
        <f t="shared" si="0"/>
        <v>550</v>
      </c>
    </row>
    <row r="26" spans="1:10" ht="14.4" x14ac:dyDescent="0.3">
      <c r="A26" s="2">
        <v>1025</v>
      </c>
      <c r="B26" s="3" t="s">
        <v>52</v>
      </c>
      <c r="C26" s="3" t="s">
        <v>7</v>
      </c>
      <c r="D26" s="3" t="s">
        <v>11</v>
      </c>
      <c r="E26" s="2">
        <v>14</v>
      </c>
      <c r="F26" s="2">
        <v>10</v>
      </c>
      <c r="G26" s="4">
        <v>45475</v>
      </c>
      <c r="J26" s="44">
        <f t="shared" si="0"/>
        <v>140</v>
      </c>
    </row>
    <row r="27" spans="1:10" ht="14.4" x14ac:dyDescent="0.3">
      <c r="A27" s="2">
        <v>1026</v>
      </c>
      <c r="B27" s="3" t="s">
        <v>53</v>
      </c>
      <c r="C27" s="3" t="s">
        <v>10</v>
      </c>
      <c r="D27" s="3" t="s">
        <v>14</v>
      </c>
      <c r="E27" s="2">
        <v>16</v>
      </c>
      <c r="F27" s="2">
        <v>25</v>
      </c>
      <c r="G27" s="4">
        <v>45506</v>
      </c>
      <c r="J27" s="44">
        <f t="shared" si="0"/>
        <v>400</v>
      </c>
    </row>
    <row r="28" spans="1:10" ht="14.4" x14ac:dyDescent="0.3">
      <c r="A28" s="2">
        <v>1027</v>
      </c>
      <c r="B28" s="3" t="s">
        <v>54</v>
      </c>
      <c r="C28" s="3" t="s">
        <v>13</v>
      </c>
      <c r="D28" s="3" t="s">
        <v>18</v>
      </c>
      <c r="E28" s="2">
        <v>22</v>
      </c>
      <c r="F28" s="2">
        <v>5</v>
      </c>
      <c r="G28" s="4">
        <v>45537</v>
      </c>
      <c r="J28" s="44">
        <f t="shared" si="0"/>
        <v>110</v>
      </c>
    </row>
    <row r="29" spans="1:10" ht="14.4" x14ac:dyDescent="0.3">
      <c r="A29" s="2">
        <v>1028</v>
      </c>
      <c r="B29" s="3" t="s">
        <v>55</v>
      </c>
      <c r="C29" s="3" t="s">
        <v>16</v>
      </c>
      <c r="D29" s="3" t="s">
        <v>21</v>
      </c>
      <c r="E29" s="2">
        <v>27</v>
      </c>
      <c r="F29" s="2">
        <v>8</v>
      </c>
      <c r="G29" s="4">
        <v>45567</v>
      </c>
      <c r="J29" s="44">
        <f t="shared" si="0"/>
        <v>216</v>
      </c>
    </row>
    <row r="30" spans="1:10" ht="14.4" x14ac:dyDescent="0.3">
      <c r="A30" s="2">
        <v>1029</v>
      </c>
      <c r="B30" s="3" t="s">
        <v>56</v>
      </c>
      <c r="C30" s="3" t="s">
        <v>7</v>
      </c>
      <c r="D30" s="3" t="s">
        <v>8</v>
      </c>
      <c r="E30" s="2">
        <v>13</v>
      </c>
      <c r="F30" s="2">
        <v>50</v>
      </c>
      <c r="G30" s="4">
        <v>45628</v>
      </c>
      <c r="J30" s="44">
        <f t="shared" si="0"/>
        <v>650</v>
      </c>
    </row>
    <row r="31" spans="1:10" ht="14.4" x14ac:dyDescent="0.3">
      <c r="A31" s="2">
        <v>1030</v>
      </c>
      <c r="B31" s="3" t="s">
        <v>57</v>
      </c>
      <c r="C31" s="3" t="s">
        <v>10</v>
      </c>
      <c r="D31" s="3" t="s">
        <v>11</v>
      </c>
      <c r="E31" s="2">
        <v>32</v>
      </c>
      <c r="F31" s="2">
        <v>10</v>
      </c>
      <c r="G31" s="2" t="s">
        <v>58</v>
      </c>
      <c r="J31" s="44">
        <f t="shared" si="0"/>
        <v>320</v>
      </c>
    </row>
    <row r="32" spans="1:10" ht="14.4" x14ac:dyDescent="0.3">
      <c r="A32" s="2">
        <v>1031</v>
      </c>
      <c r="B32" s="3" t="s">
        <v>59</v>
      </c>
      <c r="C32" s="3" t="s">
        <v>13</v>
      </c>
      <c r="D32" s="3" t="s">
        <v>14</v>
      </c>
      <c r="E32" s="2">
        <v>10</v>
      </c>
      <c r="F32" s="2">
        <v>25</v>
      </c>
      <c r="G32" s="2" t="s">
        <v>60</v>
      </c>
      <c r="J32" s="44">
        <f t="shared" si="0"/>
        <v>250</v>
      </c>
    </row>
    <row r="33" spans="1:10" ht="14.4" x14ac:dyDescent="0.3">
      <c r="A33" s="2">
        <v>1032</v>
      </c>
      <c r="B33" s="3" t="s">
        <v>61</v>
      </c>
      <c r="C33" s="3" t="s">
        <v>16</v>
      </c>
      <c r="D33" s="3" t="s">
        <v>18</v>
      </c>
      <c r="E33" s="2">
        <v>18</v>
      </c>
      <c r="F33" s="2">
        <v>5</v>
      </c>
      <c r="G33" s="2" t="s">
        <v>62</v>
      </c>
      <c r="J33" s="44">
        <f t="shared" si="0"/>
        <v>90</v>
      </c>
    </row>
    <row r="34" spans="1:10" ht="14.4" x14ac:dyDescent="0.3">
      <c r="A34" s="2">
        <v>1033</v>
      </c>
      <c r="B34" s="3" t="s">
        <v>63</v>
      </c>
      <c r="C34" s="3" t="s">
        <v>7</v>
      </c>
      <c r="D34" s="3" t="s">
        <v>21</v>
      </c>
      <c r="E34" s="2">
        <v>22</v>
      </c>
      <c r="F34" s="2">
        <v>8</v>
      </c>
      <c r="G34" s="2" t="s">
        <v>64</v>
      </c>
      <c r="J34" s="44">
        <f t="shared" si="0"/>
        <v>176</v>
      </c>
    </row>
    <row r="35" spans="1:10" ht="14.4" x14ac:dyDescent="0.3">
      <c r="A35" s="2">
        <v>1034</v>
      </c>
      <c r="B35" s="3" t="s">
        <v>65</v>
      </c>
      <c r="C35" s="3" t="s">
        <v>10</v>
      </c>
      <c r="D35" s="3" t="s">
        <v>8</v>
      </c>
      <c r="E35" s="2">
        <v>17</v>
      </c>
      <c r="F35" s="2">
        <v>50</v>
      </c>
      <c r="G35" s="2" t="s">
        <v>66</v>
      </c>
      <c r="J35" s="44">
        <f t="shared" si="0"/>
        <v>850</v>
      </c>
    </row>
    <row r="36" spans="1:10" ht="14.4" x14ac:dyDescent="0.3">
      <c r="A36" s="2">
        <v>1035</v>
      </c>
      <c r="B36" s="3" t="s">
        <v>67</v>
      </c>
      <c r="C36" s="3" t="s">
        <v>13</v>
      </c>
      <c r="D36" s="3" t="s">
        <v>11</v>
      </c>
      <c r="E36" s="2">
        <v>19</v>
      </c>
      <c r="F36" s="2">
        <v>10</v>
      </c>
      <c r="G36" s="2" t="s">
        <v>68</v>
      </c>
      <c r="J36" s="44">
        <f t="shared" si="0"/>
        <v>190</v>
      </c>
    </row>
    <row r="37" spans="1:10" ht="14.4" x14ac:dyDescent="0.3">
      <c r="A37" s="2">
        <v>1036</v>
      </c>
      <c r="B37" s="3" t="s">
        <v>69</v>
      </c>
      <c r="C37" s="3" t="s">
        <v>16</v>
      </c>
      <c r="D37" s="3" t="s">
        <v>14</v>
      </c>
      <c r="E37" s="2">
        <v>15</v>
      </c>
      <c r="F37" s="2">
        <v>25</v>
      </c>
      <c r="G37" s="2" t="s">
        <v>70</v>
      </c>
      <c r="J37" s="44">
        <f t="shared" si="0"/>
        <v>375</v>
      </c>
    </row>
    <row r="38" spans="1:10" ht="14.4" x14ac:dyDescent="0.3">
      <c r="A38" s="2">
        <v>1037</v>
      </c>
      <c r="B38" s="3" t="s">
        <v>71</v>
      </c>
      <c r="C38" s="3" t="s">
        <v>7</v>
      </c>
      <c r="D38" s="3" t="s">
        <v>18</v>
      </c>
      <c r="E38" s="2">
        <v>28</v>
      </c>
      <c r="F38" s="2">
        <v>5</v>
      </c>
      <c r="G38" s="2" t="s">
        <v>72</v>
      </c>
      <c r="J38" s="44">
        <f t="shared" si="0"/>
        <v>140</v>
      </c>
    </row>
    <row r="39" spans="1:10" ht="14.4" x14ac:dyDescent="0.3">
      <c r="A39" s="2">
        <v>1038</v>
      </c>
      <c r="B39" s="3" t="s">
        <v>73</v>
      </c>
      <c r="C39" s="3" t="s">
        <v>10</v>
      </c>
      <c r="D39" s="3" t="s">
        <v>21</v>
      </c>
      <c r="E39" s="2">
        <v>24</v>
      </c>
      <c r="F39" s="2">
        <v>8</v>
      </c>
      <c r="G39" s="2" t="s">
        <v>74</v>
      </c>
      <c r="J39" s="44">
        <f t="shared" si="0"/>
        <v>192</v>
      </c>
    </row>
    <row r="40" spans="1:10" ht="14.4" x14ac:dyDescent="0.3">
      <c r="A40" s="2">
        <v>1039</v>
      </c>
      <c r="B40" s="3" t="s">
        <v>75</v>
      </c>
      <c r="C40" s="3" t="s">
        <v>13</v>
      </c>
      <c r="D40" s="3" t="s">
        <v>8</v>
      </c>
      <c r="E40" s="2">
        <v>16</v>
      </c>
      <c r="F40" s="2">
        <v>50</v>
      </c>
      <c r="G40" s="2" t="s">
        <v>76</v>
      </c>
      <c r="J40" s="44">
        <f t="shared" si="0"/>
        <v>800</v>
      </c>
    </row>
    <row r="41" spans="1:10" ht="14.4" x14ac:dyDescent="0.3">
      <c r="A41" s="2">
        <v>1040</v>
      </c>
      <c r="B41" s="3" t="s">
        <v>77</v>
      </c>
      <c r="C41" s="3" t="s">
        <v>16</v>
      </c>
      <c r="D41" s="3" t="s">
        <v>11</v>
      </c>
      <c r="E41" s="2">
        <v>27</v>
      </c>
      <c r="F41" s="2">
        <v>10</v>
      </c>
      <c r="G41" s="2" t="s">
        <v>78</v>
      </c>
      <c r="J41" s="44">
        <f t="shared" si="0"/>
        <v>270</v>
      </c>
    </row>
    <row r="42" spans="1:10" ht="14.4" x14ac:dyDescent="0.3">
      <c r="A42" s="2">
        <v>1041</v>
      </c>
      <c r="B42" s="3" t="s">
        <v>79</v>
      </c>
      <c r="C42" s="3" t="s">
        <v>7</v>
      </c>
      <c r="D42" s="3" t="s">
        <v>14</v>
      </c>
      <c r="E42" s="2">
        <v>21</v>
      </c>
      <c r="F42" s="2">
        <v>25</v>
      </c>
      <c r="G42" s="2" t="s">
        <v>80</v>
      </c>
      <c r="J42" s="44">
        <f t="shared" si="0"/>
        <v>525</v>
      </c>
    </row>
    <row r="43" spans="1:10" ht="14.4" x14ac:dyDescent="0.3">
      <c r="A43" s="2">
        <v>1042</v>
      </c>
      <c r="B43" s="3" t="s">
        <v>81</v>
      </c>
      <c r="C43" s="3" t="s">
        <v>10</v>
      </c>
      <c r="D43" s="3" t="s">
        <v>18</v>
      </c>
      <c r="E43" s="2">
        <v>30</v>
      </c>
      <c r="F43" s="2">
        <v>5</v>
      </c>
      <c r="G43" s="2" t="s">
        <v>82</v>
      </c>
      <c r="J43" s="44">
        <f t="shared" si="0"/>
        <v>150</v>
      </c>
    </row>
    <row r="44" spans="1:10" ht="14.4" x14ac:dyDescent="0.3">
      <c r="A44" s="2">
        <v>1043</v>
      </c>
      <c r="B44" s="3" t="s">
        <v>83</v>
      </c>
      <c r="C44" s="3" t="s">
        <v>13</v>
      </c>
      <c r="D44" s="3" t="s">
        <v>21</v>
      </c>
      <c r="E44" s="2">
        <v>26</v>
      </c>
      <c r="F44" s="2">
        <v>8</v>
      </c>
      <c r="G44" s="4">
        <v>45294</v>
      </c>
      <c r="J44" s="44">
        <f t="shared" si="0"/>
        <v>208</v>
      </c>
    </row>
    <row r="45" spans="1:10" ht="14.4" x14ac:dyDescent="0.3">
      <c r="A45" s="2">
        <v>1044</v>
      </c>
      <c r="B45" s="3" t="s">
        <v>84</v>
      </c>
      <c r="C45" s="3" t="s">
        <v>16</v>
      </c>
      <c r="D45" s="3" t="s">
        <v>8</v>
      </c>
      <c r="E45" s="2">
        <v>14</v>
      </c>
      <c r="F45" s="2">
        <v>50</v>
      </c>
      <c r="G45" s="4">
        <v>45325</v>
      </c>
      <c r="J45" s="44">
        <f t="shared" si="0"/>
        <v>700</v>
      </c>
    </row>
    <row r="46" spans="1:10" ht="14.4" x14ac:dyDescent="0.3">
      <c r="A46" s="2">
        <v>1045</v>
      </c>
      <c r="B46" s="3" t="s">
        <v>85</v>
      </c>
      <c r="C46" s="3" t="s">
        <v>7</v>
      </c>
      <c r="D46" s="3" t="s">
        <v>11</v>
      </c>
      <c r="E46" s="2">
        <v>20</v>
      </c>
      <c r="F46" s="2">
        <v>10</v>
      </c>
      <c r="G46" s="4">
        <v>45354</v>
      </c>
      <c r="J46" s="44">
        <f t="shared" si="0"/>
        <v>200</v>
      </c>
    </row>
    <row r="47" spans="1:10" ht="14.4" x14ac:dyDescent="0.3">
      <c r="A47" s="2">
        <v>1046</v>
      </c>
      <c r="B47" s="3" t="s">
        <v>86</v>
      </c>
      <c r="C47" s="3" t="s">
        <v>10</v>
      </c>
      <c r="D47" s="3" t="s">
        <v>14</v>
      </c>
      <c r="E47" s="2">
        <v>17</v>
      </c>
      <c r="F47" s="2">
        <v>25</v>
      </c>
      <c r="G47" s="4">
        <v>45385</v>
      </c>
      <c r="J47" s="44">
        <f t="shared" si="0"/>
        <v>425</v>
      </c>
    </row>
    <row r="48" spans="1:10" ht="14.4" x14ac:dyDescent="0.3">
      <c r="A48" s="2">
        <v>1047</v>
      </c>
      <c r="B48" s="3" t="s">
        <v>87</v>
      </c>
      <c r="C48" s="3" t="s">
        <v>13</v>
      </c>
      <c r="D48" s="3" t="s">
        <v>18</v>
      </c>
      <c r="E48" s="2">
        <v>19</v>
      </c>
      <c r="F48" s="2">
        <v>5</v>
      </c>
      <c r="G48" s="4">
        <v>45415</v>
      </c>
      <c r="J48" s="44">
        <f t="shared" si="0"/>
        <v>95</v>
      </c>
    </row>
    <row r="49" spans="1:10" ht="14.4" x14ac:dyDescent="0.3">
      <c r="A49" s="2">
        <v>1048</v>
      </c>
      <c r="B49" s="3" t="s">
        <v>88</v>
      </c>
      <c r="C49" s="3" t="s">
        <v>16</v>
      </c>
      <c r="D49" s="3" t="s">
        <v>21</v>
      </c>
      <c r="E49" s="2">
        <v>32</v>
      </c>
      <c r="F49" s="2">
        <v>8</v>
      </c>
      <c r="G49" s="4">
        <v>45446</v>
      </c>
      <c r="J49" s="44">
        <f t="shared" si="0"/>
        <v>256</v>
      </c>
    </row>
    <row r="50" spans="1:10" ht="14.4" x14ac:dyDescent="0.3">
      <c r="A50" s="2">
        <v>1049</v>
      </c>
      <c r="B50" s="3" t="s">
        <v>89</v>
      </c>
      <c r="C50" s="3" t="s">
        <v>7</v>
      </c>
      <c r="D50" s="3" t="s">
        <v>8</v>
      </c>
      <c r="E50" s="2">
        <v>12</v>
      </c>
      <c r="F50" s="2">
        <v>50</v>
      </c>
      <c r="G50" s="4">
        <v>45476</v>
      </c>
      <c r="J50" s="44">
        <f t="shared" si="0"/>
        <v>600</v>
      </c>
    </row>
    <row r="51" spans="1:10" ht="14.4" x14ac:dyDescent="0.3">
      <c r="A51" s="2">
        <v>1050</v>
      </c>
      <c r="B51" s="3" t="s">
        <v>90</v>
      </c>
      <c r="C51" s="3" t="s">
        <v>10</v>
      </c>
      <c r="D51" s="3" t="s">
        <v>11</v>
      </c>
      <c r="E51" s="2">
        <v>25</v>
      </c>
      <c r="F51" s="2">
        <v>10</v>
      </c>
      <c r="G51" s="4">
        <v>45507</v>
      </c>
      <c r="J51" s="44">
        <f t="shared" si="0"/>
        <v>250</v>
      </c>
    </row>
  </sheetData>
  <phoneticPr fontId="27" type="noConversion"/>
  <pageMargins left="0.7" right="0.7" top="0.75" bottom="0.75" header="0.3" footer="0.3"/>
  <ignoredErrors>
    <ignoredError sqref="J44:J51 J21:J30 J2:J7" formulaRange="1"/>
  </ignoredErrors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6A8D8696-E365-4050-9AC9-CAD720B0CF8D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'Q6 ans'!D1:D51</xm:f>
              <xm:sqref>E1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BB0FB-FA56-4066-AFCE-9D1687BF7EB8}">
  <dimension ref="A1:T67"/>
  <sheetViews>
    <sheetView tabSelected="1" zoomScale="85" zoomScaleNormal="85" workbookViewId="0">
      <selection activeCell="M7" sqref="M7"/>
    </sheetView>
  </sheetViews>
  <sheetFormatPr defaultRowHeight="13.2" x14ac:dyDescent="0.25"/>
  <cols>
    <col min="1" max="1" width="11.109375" bestFit="1" customWidth="1"/>
    <col min="2" max="2" width="20.88671875" bestFit="1" customWidth="1"/>
    <col min="3" max="3" width="9.88671875" bestFit="1" customWidth="1"/>
    <col min="4" max="4" width="10.88671875" bestFit="1" customWidth="1"/>
    <col min="5" max="5" width="13.109375" bestFit="1" customWidth="1"/>
    <col min="6" max="6" width="12.6640625" bestFit="1" customWidth="1"/>
    <col min="7" max="7" width="14.44140625" bestFit="1" customWidth="1"/>
    <col min="10" max="10" width="14.6640625" customWidth="1"/>
    <col min="12" max="12" width="13.5546875" bestFit="1" customWidth="1"/>
    <col min="13" max="13" width="97.44140625" bestFit="1" customWidth="1"/>
  </cols>
  <sheetData>
    <row r="1" spans="1:20" ht="24.6" x14ac:dyDescent="0.4">
      <c r="A1" s="41" t="s">
        <v>0</v>
      </c>
      <c r="B1" s="41" t="s">
        <v>1</v>
      </c>
      <c r="C1" s="41" t="s">
        <v>2</v>
      </c>
      <c r="D1" s="41" t="s">
        <v>3</v>
      </c>
      <c r="E1" s="42" t="s">
        <v>4</v>
      </c>
      <c r="F1" s="41" t="s">
        <v>5</v>
      </c>
      <c r="G1" s="41" t="s">
        <v>6</v>
      </c>
      <c r="J1" s="43" t="s">
        <v>132</v>
      </c>
      <c r="K1" s="46"/>
      <c r="L1" s="46"/>
      <c r="M1" s="46"/>
      <c r="N1" s="48"/>
      <c r="O1" s="48"/>
      <c r="P1" s="48"/>
      <c r="Q1" s="48"/>
      <c r="R1" s="46"/>
      <c r="S1" s="46"/>
      <c r="T1" s="46"/>
    </row>
    <row r="2" spans="1:20" ht="14.4" x14ac:dyDescent="0.3">
      <c r="A2" s="2">
        <v>1001</v>
      </c>
      <c r="B2" s="3" t="s">
        <v>111</v>
      </c>
      <c r="C2" s="3" t="s">
        <v>7</v>
      </c>
      <c r="D2" s="3" t="s">
        <v>8</v>
      </c>
      <c r="E2" s="2">
        <v>10</v>
      </c>
      <c r="F2" s="2">
        <v>50</v>
      </c>
      <c r="G2" s="4">
        <v>45413</v>
      </c>
      <c r="J2" s="44">
        <f>PRODUCT(E2:F2)</f>
        <v>500</v>
      </c>
      <c r="K2" s="46"/>
      <c r="L2" s="46"/>
      <c r="M2" s="46"/>
      <c r="N2" s="46"/>
      <c r="O2" s="46"/>
      <c r="P2" s="46"/>
      <c r="Q2" s="46"/>
      <c r="R2" s="46"/>
      <c r="S2" s="46"/>
      <c r="T2" s="46"/>
    </row>
    <row r="3" spans="1:20" ht="24.6" x14ac:dyDescent="0.4">
      <c r="A3" s="2">
        <v>1002</v>
      </c>
      <c r="B3" s="3" t="s">
        <v>9</v>
      </c>
      <c r="C3" s="3" t="s">
        <v>10</v>
      </c>
      <c r="D3" s="3" t="s">
        <v>11</v>
      </c>
      <c r="E3" s="2">
        <v>20</v>
      </c>
      <c r="F3" s="2">
        <v>10</v>
      </c>
      <c r="G3" s="4">
        <v>45444</v>
      </c>
      <c r="J3" s="44">
        <f t="shared" ref="J3:J51" si="0">PRODUCT(E3:F3)</f>
        <v>200</v>
      </c>
      <c r="K3" s="57" t="s">
        <v>139</v>
      </c>
      <c r="L3" s="57" t="s">
        <v>140</v>
      </c>
      <c r="M3" s="54"/>
      <c r="N3" s="46"/>
      <c r="O3" s="46"/>
      <c r="P3" s="46"/>
      <c r="Q3" s="46"/>
      <c r="R3" s="46"/>
      <c r="S3" s="46"/>
      <c r="T3" s="46"/>
    </row>
    <row r="4" spans="1:20" ht="17.399999999999999" x14ac:dyDescent="0.3">
      <c r="A4" s="2">
        <v>1003</v>
      </c>
      <c r="B4" s="3" t="s">
        <v>12</v>
      </c>
      <c r="C4" s="3" t="s">
        <v>13</v>
      </c>
      <c r="D4" s="3" t="s">
        <v>14</v>
      </c>
      <c r="E4" s="2">
        <v>15</v>
      </c>
      <c r="F4" s="2">
        <v>25</v>
      </c>
      <c r="G4" s="4">
        <v>45474</v>
      </c>
      <c r="J4" s="44">
        <f t="shared" si="0"/>
        <v>375</v>
      </c>
      <c r="K4" s="49" t="s">
        <v>133</v>
      </c>
      <c r="L4" s="46"/>
      <c r="M4" s="46"/>
      <c r="N4" s="46"/>
      <c r="O4" s="46"/>
      <c r="P4" s="46"/>
      <c r="Q4" s="46"/>
      <c r="R4" s="46"/>
      <c r="S4" s="46"/>
      <c r="T4" s="46"/>
    </row>
    <row r="5" spans="1:20" ht="14.4" x14ac:dyDescent="0.3">
      <c r="A5" s="2">
        <v>1004</v>
      </c>
      <c r="B5" s="3" t="s">
        <v>15</v>
      </c>
      <c r="C5" s="3" t="s">
        <v>16</v>
      </c>
      <c r="D5" s="3" t="s">
        <v>8</v>
      </c>
      <c r="E5" s="2">
        <v>5</v>
      </c>
      <c r="F5" s="2">
        <v>50</v>
      </c>
      <c r="G5" s="4">
        <v>45505</v>
      </c>
      <c r="J5" s="44">
        <f t="shared" si="0"/>
        <v>250</v>
      </c>
      <c r="K5" s="46"/>
      <c r="L5" s="46"/>
      <c r="M5" s="46"/>
      <c r="N5" s="46"/>
      <c r="O5" s="46"/>
      <c r="P5" s="46"/>
      <c r="Q5" s="46"/>
      <c r="R5" s="46"/>
      <c r="S5" s="46"/>
      <c r="T5" s="46"/>
    </row>
    <row r="6" spans="1:20" ht="14.4" x14ac:dyDescent="0.3">
      <c r="A6" s="2">
        <v>1005</v>
      </c>
      <c r="B6" s="3" t="s">
        <v>17</v>
      </c>
      <c r="C6" s="3" t="s">
        <v>7</v>
      </c>
      <c r="D6" s="3" t="s">
        <v>18</v>
      </c>
      <c r="E6" s="2">
        <v>30</v>
      </c>
      <c r="F6" s="2">
        <v>5</v>
      </c>
      <c r="G6" s="4">
        <v>45566</v>
      </c>
      <c r="J6" s="44">
        <f t="shared" si="0"/>
        <v>150</v>
      </c>
      <c r="K6" s="46"/>
      <c r="L6" s="46"/>
      <c r="M6" s="46"/>
      <c r="N6" s="46"/>
      <c r="O6" s="46"/>
      <c r="P6" s="46"/>
      <c r="Q6" s="46"/>
      <c r="R6" s="46"/>
      <c r="S6" s="46"/>
      <c r="T6" s="46"/>
    </row>
    <row r="7" spans="1:20" ht="14.4" x14ac:dyDescent="0.3">
      <c r="A7" s="2">
        <v>1006</v>
      </c>
      <c r="B7" s="3" t="s">
        <v>19</v>
      </c>
      <c r="C7" s="3" t="s">
        <v>10</v>
      </c>
      <c r="D7" s="3" t="s">
        <v>8</v>
      </c>
      <c r="E7" s="2">
        <v>12</v>
      </c>
      <c r="F7" s="2">
        <v>50</v>
      </c>
      <c r="G7" s="4">
        <v>45597</v>
      </c>
      <c r="J7" s="44">
        <f t="shared" si="0"/>
        <v>600</v>
      </c>
      <c r="K7" s="46"/>
      <c r="L7" s="46"/>
      <c r="M7" s="46"/>
      <c r="N7" s="46"/>
      <c r="O7" s="46"/>
      <c r="P7" s="46"/>
      <c r="Q7" s="46"/>
      <c r="R7" s="46"/>
      <c r="S7" s="46"/>
      <c r="T7" s="46"/>
    </row>
    <row r="8" spans="1:20" ht="14.4" x14ac:dyDescent="0.3">
      <c r="A8" s="2">
        <v>1007</v>
      </c>
      <c r="B8" s="3" t="s">
        <v>20</v>
      </c>
      <c r="C8" s="3" t="s">
        <v>13</v>
      </c>
      <c r="D8" s="3" t="s">
        <v>21</v>
      </c>
      <c r="E8" s="2">
        <v>25</v>
      </c>
      <c r="F8" s="2">
        <v>8</v>
      </c>
      <c r="G8" s="2" t="s">
        <v>22</v>
      </c>
      <c r="J8" s="44">
        <f t="shared" si="0"/>
        <v>200</v>
      </c>
      <c r="K8" s="46"/>
      <c r="L8" s="46"/>
      <c r="M8" s="46"/>
      <c r="N8" s="46"/>
      <c r="O8" s="46"/>
      <c r="P8" s="46"/>
      <c r="Q8" s="46"/>
      <c r="R8" s="46"/>
      <c r="S8" s="46"/>
      <c r="T8" s="46"/>
    </row>
    <row r="9" spans="1:20" ht="14.4" x14ac:dyDescent="0.3">
      <c r="A9" s="2">
        <v>1008</v>
      </c>
      <c r="B9" s="3" t="s">
        <v>23</v>
      </c>
      <c r="C9" s="3" t="s">
        <v>16</v>
      </c>
      <c r="D9" s="3" t="s">
        <v>11</v>
      </c>
      <c r="E9" s="2">
        <v>18</v>
      </c>
      <c r="F9" s="2">
        <v>10</v>
      </c>
      <c r="G9" s="2" t="s">
        <v>24</v>
      </c>
      <c r="J9" s="44">
        <f t="shared" si="0"/>
        <v>180</v>
      </c>
      <c r="K9" s="46"/>
      <c r="L9" s="46"/>
      <c r="M9" s="46"/>
      <c r="N9" s="46"/>
      <c r="O9" s="46"/>
      <c r="P9" s="46"/>
      <c r="Q9" s="46"/>
      <c r="R9" s="46"/>
      <c r="S9" s="46"/>
      <c r="T9" s="46"/>
    </row>
    <row r="10" spans="1:20" ht="14.4" x14ac:dyDescent="0.3">
      <c r="A10" s="2">
        <v>1009</v>
      </c>
      <c r="B10" s="3" t="s">
        <v>25</v>
      </c>
      <c r="C10" s="3" t="s">
        <v>7</v>
      </c>
      <c r="D10" s="3" t="s">
        <v>14</v>
      </c>
      <c r="E10" s="2">
        <v>22</v>
      </c>
      <c r="F10" s="2">
        <v>25</v>
      </c>
      <c r="G10" s="2" t="s">
        <v>26</v>
      </c>
      <c r="J10" s="44">
        <f t="shared" si="0"/>
        <v>550</v>
      </c>
      <c r="K10" s="46"/>
      <c r="L10" s="46"/>
      <c r="M10" s="46"/>
      <c r="N10" s="46"/>
      <c r="O10" s="46"/>
      <c r="P10" s="46"/>
      <c r="Q10" s="46"/>
      <c r="R10" s="46"/>
      <c r="S10" s="46"/>
      <c r="T10" s="46"/>
    </row>
    <row r="11" spans="1:20" ht="14.4" x14ac:dyDescent="0.3">
      <c r="A11" s="2">
        <v>1010</v>
      </c>
      <c r="B11" s="3" t="s">
        <v>27</v>
      </c>
      <c r="C11" s="3" t="s">
        <v>10</v>
      </c>
      <c r="D11" s="3" t="s">
        <v>8</v>
      </c>
      <c r="E11" s="2">
        <v>8</v>
      </c>
      <c r="F11" s="2">
        <v>50</v>
      </c>
      <c r="G11" s="2" t="s">
        <v>28</v>
      </c>
      <c r="J11" s="44">
        <f t="shared" si="0"/>
        <v>400</v>
      </c>
      <c r="K11" s="46"/>
      <c r="L11" s="46"/>
      <c r="M11" s="46"/>
      <c r="N11" s="46"/>
      <c r="O11" s="46"/>
      <c r="P11" s="46"/>
      <c r="Q11" s="46"/>
      <c r="R11" s="46"/>
      <c r="S11" s="46"/>
      <c r="T11" s="46"/>
    </row>
    <row r="12" spans="1:20" ht="14.4" x14ac:dyDescent="0.3">
      <c r="A12" s="2">
        <v>1011</v>
      </c>
      <c r="B12" s="3" t="s">
        <v>29</v>
      </c>
      <c r="C12" s="3" t="s">
        <v>13</v>
      </c>
      <c r="D12" s="3" t="s">
        <v>18</v>
      </c>
      <c r="E12" s="2">
        <v>40</v>
      </c>
      <c r="F12" s="2">
        <v>5</v>
      </c>
      <c r="G12" s="2" t="s">
        <v>30</v>
      </c>
      <c r="J12" s="44">
        <f t="shared" si="0"/>
        <v>200</v>
      </c>
      <c r="K12" s="46"/>
      <c r="L12" s="46"/>
      <c r="M12" s="46"/>
      <c r="N12" s="46"/>
      <c r="O12" s="46"/>
      <c r="P12" s="46"/>
      <c r="Q12" s="46"/>
      <c r="R12" s="46"/>
      <c r="S12" s="46"/>
      <c r="T12" s="46"/>
    </row>
    <row r="13" spans="1:20" ht="14.4" x14ac:dyDescent="0.3">
      <c r="A13" s="2">
        <v>1012</v>
      </c>
      <c r="B13" s="3" t="s">
        <v>31</v>
      </c>
      <c r="C13" s="3" t="s">
        <v>16</v>
      </c>
      <c r="D13" s="3" t="s">
        <v>21</v>
      </c>
      <c r="E13" s="2">
        <v>35</v>
      </c>
      <c r="F13" s="2">
        <v>8</v>
      </c>
      <c r="G13" s="2" t="s">
        <v>32</v>
      </c>
      <c r="J13" s="44">
        <f t="shared" si="0"/>
        <v>280</v>
      </c>
      <c r="K13" s="46"/>
      <c r="L13" s="46"/>
      <c r="M13" s="46"/>
      <c r="N13" s="46"/>
      <c r="O13" s="46"/>
      <c r="P13" s="46"/>
      <c r="Q13" s="46"/>
      <c r="R13" s="46"/>
      <c r="S13" s="46"/>
      <c r="T13" s="46"/>
    </row>
    <row r="14" spans="1:20" ht="14.4" x14ac:dyDescent="0.3">
      <c r="A14" s="2">
        <v>1013</v>
      </c>
      <c r="B14" s="3" t="s">
        <v>33</v>
      </c>
      <c r="C14" s="3" t="s">
        <v>7</v>
      </c>
      <c r="D14" s="3" t="s">
        <v>8</v>
      </c>
      <c r="E14" s="2">
        <v>14</v>
      </c>
      <c r="F14" s="2">
        <v>50</v>
      </c>
      <c r="G14" s="2" t="s">
        <v>34</v>
      </c>
      <c r="J14" s="44">
        <f t="shared" si="0"/>
        <v>700</v>
      </c>
      <c r="K14" s="46"/>
      <c r="L14" s="46"/>
      <c r="M14" s="46"/>
      <c r="N14" s="46"/>
      <c r="O14" s="46"/>
      <c r="P14" s="46"/>
      <c r="Q14" s="46"/>
      <c r="R14" s="46"/>
      <c r="S14" s="46"/>
      <c r="T14" s="46"/>
    </row>
    <row r="15" spans="1:20" ht="14.4" x14ac:dyDescent="0.3">
      <c r="A15" s="2">
        <v>1014</v>
      </c>
      <c r="B15" s="3" t="s">
        <v>35</v>
      </c>
      <c r="C15" s="3" t="s">
        <v>10</v>
      </c>
      <c r="D15" s="3" t="s">
        <v>11</v>
      </c>
      <c r="E15" s="2">
        <v>28</v>
      </c>
      <c r="F15" s="2">
        <v>10</v>
      </c>
      <c r="G15" s="2" t="s">
        <v>36</v>
      </c>
      <c r="J15" s="44">
        <f t="shared" si="0"/>
        <v>280</v>
      </c>
      <c r="K15" s="46"/>
      <c r="L15" s="46"/>
      <c r="M15" s="46"/>
      <c r="N15" s="46"/>
      <c r="O15" s="46"/>
      <c r="P15" s="46"/>
      <c r="Q15" s="46"/>
      <c r="R15" s="46"/>
      <c r="S15" s="46"/>
      <c r="T15" s="46"/>
    </row>
    <row r="16" spans="1:20" ht="14.4" x14ac:dyDescent="0.3">
      <c r="A16" s="2">
        <v>1015</v>
      </c>
      <c r="B16" s="3" t="s">
        <v>37</v>
      </c>
      <c r="C16" s="3" t="s">
        <v>13</v>
      </c>
      <c r="D16" s="3" t="s">
        <v>14</v>
      </c>
      <c r="E16" s="2">
        <v>12</v>
      </c>
      <c r="F16" s="2">
        <v>25</v>
      </c>
      <c r="G16" s="2" t="s">
        <v>38</v>
      </c>
      <c r="J16" s="44">
        <f t="shared" si="0"/>
        <v>300</v>
      </c>
      <c r="K16" s="46"/>
      <c r="L16" s="46"/>
      <c r="M16" s="46"/>
      <c r="N16" s="46"/>
      <c r="O16" s="46"/>
      <c r="P16" s="46"/>
      <c r="Q16" s="46"/>
      <c r="R16" s="46"/>
      <c r="S16" s="46"/>
      <c r="T16" s="46"/>
    </row>
    <row r="17" spans="1:20" ht="14.4" x14ac:dyDescent="0.3">
      <c r="A17" s="2">
        <v>1016</v>
      </c>
      <c r="B17" s="3" t="s">
        <v>39</v>
      </c>
      <c r="C17" s="3" t="s">
        <v>16</v>
      </c>
      <c r="D17" s="3" t="s">
        <v>18</v>
      </c>
      <c r="E17" s="2">
        <v>25</v>
      </c>
      <c r="F17" s="2">
        <v>5</v>
      </c>
      <c r="G17" s="2" t="s">
        <v>40</v>
      </c>
      <c r="J17" s="44">
        <f t="shared" si="0"/>
        <v>125</v>
      </c>
      <c r="K17" s="46"/>
      <c r="L17" s="46"/>
      <c r="M17" s="46"/>
      <c r="N17" s="46"/>
      <c r="O17" s="46"/>
      <c r="P17" s="46"/>
      <c r="Q17" s="46"/>
      <c r="R17" s="46"/>
      <c r="S17" s="46"/>
      <c r="T17" s="46"/>
    </row>
    <row r="18" spans="1:20" ht="14.4" x14ac:dyDescent="0.3">
      <c r="A18" s="2">
        <v>1017</v>
      </c>
      <c r="B18" s="3" t="s">
        <v>41</v>
      </c>
      <c r="C18" s="3" t="s">
        <v>7</v>
      </c>
      <c r="D18" s="3" t="s">
        <v>21</v>
      </c>
      <c r="E18" s="2">
        <v>20</v>
      </c>
      <c r="F18" s="2">
        <v>8</v>
      </c>
      <c r="G18" s="2" t="s">
        <v>42</v>
      </c>
      <c r="J18" s="44">
        <f t="shared" si="0"/>
        <v>160</v>
      </c>
      <c r="K18" s="46"/>
      <c r="L18" s="46"/>
      <c r="M18" s="46"/>
      <c r="N18" s="46"/>
      <c r="O18" s="46"/>
      <c r="P18" s="46"/>
      <c r="Q18" s="46"/>
      <c r="R18" s="46"/>
      <c r="S18" s="46"/>
      <c r="T18" s="46"/>
    </row>
    <row r="19" spans="1:20" ht="14.4" x14ac:dyDescent="0.3">
      <c r="A19" s="2">
        <v>1018</v>
      </c>
      <c r="B19" s="3" t="s">
        <v>43</v>
      </c>
      <c r="C19" s="3" t="s">
        <v>10</v>
      </c>
      <c r="D19" s="3" t="s">
        <v>8</v>
      </c>
      <c r="E19" s="2">
        <v>10</v>
      </c>
      <c r="F19" s="2">
        <v>50</v>
      </c>
      <c r="G19" s="2" t="s">
        <v>44</v>
      </c>
      <c r="J19" s="44">
        <f t="shared" si="0"/>
        <v>500</v>
      </c>
      <c r="K19" s="46"/>
      <c r="L19" s="46"/>
      <c r="M19" s="46"/>
      <c r="N19" s="46"/>
      <c r="O19" s="46"/>
      <c r="P19" s="46"/>
      <c r="Q19" s="46"/>
      <c r="R19" s="46"/>
      <c r="S19" s="46"/>
      <c r="T19" s="46"/>
    </row>
    <row r="20" spans="1:20" ht="14.4" x14ac:dyDescent="0.3">
      <c r="A20" s="2">
        <v>1019</v>
      </c>
      <c r="B20" s="3" t="s">
        <v>45</v>
      </c>
      <c r="C20" s="3" t="s">
        <v>13</v>
      </c>
      <c r="D20" s="3" t="s">
        <v>11</v>
      </c>
      <c r="E20" s="2">
        <v>15</v>
      </c>
      <c r="F20" s="2">
        <v>10</v>
      </c>
      <c r="G20" s="2" t="s">
        <v>46</v>
      </c>
      <c r="J20" s="44">
        <f t="shared" si="0"/>
        <v>150</v>
      </c>
      <c r="K20" s="46"/>
      <c r="L20" s="46"/>
      <c r="M20" s="46"/>
      <c r="N20" s="46"/>
      <c r="O20" s="46"/>
      <c r="P20" s="46"/>
      <c r="Q20" s="46"/>
      <c r="R20" s="46"/>
      <c r="S20" s="46"/>
      <c r="T20" s="46"/>
    </row>
    <row r="21" spans="1:20" ht="14.4" x14ac:dyDescent="0.3">
      <c r="A21" s="2">
        <v>1020</v>
      </c>
      <c r="B21" s="3" t="s">
        <v>47</v>
      </c>
      <c r="C21" s="3" t="s">
        <v>16</v>
      </c>
      <c r="D21" s="3" t="s">
        <v>14</v>
      </c>
      <c r="E21" s="2">
        <v>18</v>
      </c>
      <c r="F21" s="2">
        <v>25</v>
      </c>
      <c r="G21" s="4">
        <v>45293</v>
      </c>
      <c r="J21" s="44">
        <f t="shared" si="0"/>
        <v>450</v>
      </c>
      <c r="K21" s="46"/>
      <c r="L21" s="46"/>
      <c r="M21" s="46"/>
      <c r="N21" s="46"/>
      <c r="O21" s="46"/>
      <c r="P21" s="46"/>
      <c r="Q21" s="46"/>
      <c r="R21" s="46"/>
      <c r="S21" s="46"/>
      <c r="T21" s="46"/>
    </row>
    <row r="22" spans="1:20" ht="14.4" x14ac:dyDescent="0.3">
      <c r="A22" s="2">
        <v>1021</v>
      </c>
      <c r="B22" s="3" t="s">
        <v>48</v>
      </c>
      <c r="C22" s="3" t="s">
        <v>7</v>
      </c>
      <c r="D22" s="3" t="s">
        <v>8</v>
      </c>
      <c r="E22" s="2">
        <v>9</v>
      </c>
      <c r="F22" s="2">
        <v>50</v>
      </c>
      <c r="G22" s="4">
        <v>45324</v>
      </c>
      <c r="J22" s="44">
        <f t="shared" si="0"/>
        <v>450</v>
      </c>
      <c r="K22" s="46"/>
      <c r="L22" s="46"/>
      <c r="M22" s="46"/>
      <c r="N22" s="46"/>
      <c r="O22" s="46"/>
      <c r="P22" s="46"/>
      <c r="Q22" s="46"/>
      <c r="R22" s="46"/>
      <c r="S22" s="46"/>
      <c r="T22" s="46"/>
    </row>
    <row r="23" spans="1:20" ht="14.4" x14ac:dyDescent="0.3">
      <c r="A23" s="2">
        <v>1022</v>
      </c>
      <c r="B23" s="3" t="s">
        <v>49</v>
      </c>
      <c r="C23" s="3" t="s">
        <v>10</v>
      </c>
      <c r="D23" s="3" t="s">
        <v>18</v>
      </c>
      <c r="E23" s="2">
        <v>35</v>
      </c>
      <c r="F23" s="2">
        <v>5</v>
      </c>
      <c r="G23" s="4">
        <v>45353</v>
      </c>
      <c r="J23" s="44">
        <f t="shared" si="0"/>
        <v>175</v>
      </c>
      <c r="K23" s="46"/>
      <c r="L23" s="46"/>
      <c r="M23" s="46"/>
      <c r="N23" s="46"/>
      <c r="O23" s="46"/>
      <c r="P23" s="46"/>
      <c r="Q23" s="46"/>
      <c r="R23" s="46"/>
      <c r="S23" s="46"/>
      <c r="T23" s="46"/>
    </row>
    <row r="24" spans="1:20" ht="14.4" x14ac:dyDescent="0.3">
      <c r="A24" s="2">
        <v>1023</v>
      </c>
      <c r="B24" s="3" t="s">
        <v>50</v>
      </c>
      <c r="C24" s="3" t="s">
        <v>13</v>
      </c>
      <c r="D24" s="3" t="s">
        <v>21</v>
      </c>
      <c r="E24" s="2">
        <v>30</v>
      </c>
      <c r="F24" s="2">
        <v>8</v>
      </c>
      <c r="G24" s="4">
        <v>45384</v>
      </c>
      <c r="J24" s="44">
        <f t="shared" si="0"/>
        <v>240</v>
      </c>
      <c r="K24" s="46"/>
      <c r="L24" s="46"/>
      <c r="M24" s="46"/>
      <c r="N24" s="46"/>
      <c r="O24" s="46"/>
      <c r="P24" s="46"/>
      <c r="Q24" s="46"/>
      <c r="R24" s="46"/>
      <c r="S24" s="46"/>
      <c r="T24" s="46"/>
    </row>
    <row r="25" spans="1:20" ht="14.4" x14ac:dyDescent="0.3">
      <c r="A25" s="2">
        <v>1024</v>
      </c>
      <c r="B25" s="3" t="s">
        <v>51</v>
      </c>
      <c r="C25" s="3" t="s">
        <v>16</v>
      </c>
      <c r="D25" s="3" t="s">
        <v>8</v>
      </c>
      <c r="E25" s="2">
        <v>11</v>
      </c>
      <c r="F25" s="2">
        <v>50</v>
      </c>
      <c r="G25" s="4">
        <v>45445</v>
      </c>
      <c r="J25" s="44">
        <f t="shared" si="0"/>
        <v>550</v>
      </c>
      <c r="K25" s="46"/>
      <c r="L25" s="46"/>
      <c r="M25" s="46"/>
      <c r="N25" s="46"/>
      <c r="O25" s="46"/>
      <c r="P25" s="46"/>
      <c r="Q25" s="46"/>
      <c r="R25" s="46"/>
      <c r="S25" s="46"/>
      <c r="T25" s="46"/>
    </row>
    <row r="26" spans="1:20" ht="14.4" x14ac:dyDescent="0.3">
      <c r="A26" s="2">
        <v>1025</v>
      </c>
      <c r="B26" s="3" t="s">
        <v>52</v>
      </c>
      <c r="C26" s="3" t="s">
        <v>7</v>
      </c>
      <c r="D26" s="3" t="s">
        <v>11</v>
      </c>
      <c r="E26" s="2">
        <v>14</v>
      </c>
      <c r="F26" s="2">
        <v>10</v>
      </c>
      <c r="G26" s="4">
        <v>45475</v>
      </c>
      <c r="J26" s="44">
        <f t="shared" si="0"/>
        <v>140</v>
      </c>
      <c r="K26" s="46"/>
      <c r="L26" s="46"/>
      <c r="M26" s="46"/>
      <c r="N26" s="46"/>
      <c r="O26" s="46"/>
      <c r="P26" s="46"/>
      <c r="Q26" s="46"/>
      <c r="R26" s="46"/>
      <c r="S26" s="46"/>
      <c r="T26" s="46"/>
    </row>
    <row r="27" spans="1:20" ht="14.4" x14ac:dyDescent="0.3">
      <c r="A27" s="2">
        <v>1026</v>
      </c>
      <c r="B27" s="3" t="s">
        <v>53</v>
      </c>
      <c r="C27" s="3" t="s">
        <v>10</v>
      </c>
      <c r="D27" s="3" t="s">
        <v>14</v>
      </c>
      <c r="E27" s="2">
        <v>16</v>
      </c>
      <c r="F27" s="2">
        <v>25</v>
      </c>
      <c r="G27" s="4">
        <v>45506</v>
      </c>
      <c r="J27" s="44">
        <f t="shared" si="0"/>
        <v>400</v>
      </c>
      <c r="K27" s="46"/>
      <c r="L27" s="46"/>
      <c r="M27" s="46"/>
      <c r="N27" s="46"/>
      <c r="O27" s="46"/>
      <c r="P27" s="46"/>
      <c r="Q27" s="46"/>
      <c r="R27" s="46"/>
      <c r="S27" s="46"/>
      <c r="T27" s="46"/>
    </row>
    <row r="28" spans="1:20" ht="14.4" x14ac:dyDescent="0.3">
      <c r="A28" s="2">
        <v>1027</v>
      </c>
      <c r="B28" s="3" t="s">
        <v>54</v>
      </c>
      <c r="C28" s="3" t="s">
        <v>13</v>
      </c>
      <c r="D28" s="3" t="s">
        <v>18</v>
      </c>
      <c r="E28" s="2">
        <v>22</v>
      </c>
      <c r="F28" s="2">
        <v>5</v>
      </c>
      <c r="G28" s="4">
        <v>45537</v>
      </c>
      <c r="J28" s="44">
        <f t="shared" si="0"/>
        <v>110</v>
      </c>
      <c r="K28" s="46"/>
      <c r="L28" s="46"/>
      <c r="M28" s="46"/>
      <c r="N28" s="46"/>
      <c r="O28" s="46"/>
      <c r="P28" s="46"/>
      <c r="Q28" s="46"/>
      <c r="R28" s="46"/>
      <c r="S28" s="46"/>
      <c r="T28" s="46"/>
    </row>
    <row r="29" spans="1:20" ht="14.4" x14ac:dyDescent="0.3">
      <c r="A29" s="2">
        <v>1028</v>
      </c>
      <c r="B29" s="3" t="s">
        <v>55</v>
      </c>
      <c r="C29" s="3" t="s">
        <v>16</v>
      </c>
      <c r="D29" s="3" t="s">
        <v>21</v>
      </c>
      <c r="E29" s="2">
        <v>27</v>
      </c>
      <c r="F29" s="2">
        <v>8</v>
      </c>
      <c r="G29" s="4">
        <v>45567</v>
      </c>
      <c r="J29" s="44">
        <f t="shared" si="0"/>
        <v>216</v>
      </c>
      <c r="K29" s="46"/>
      <c r="L29" s="46"/>
      <c r="M29" s="46"/>
      <c r="N29" s="46"/>
      <c r="O29" s="46"/>
      <c r="P29" s="46"/>
      <c r="Q29" s="46"/>
      <c r="R29" s="46"/>
      <c r="S29" s="46"/>
      <c r="T29" s="46"/>
    </row>
    <row r="30" spans="1:20" ht="14.4" x14ac:dyDescent="0.3">
      <c r="A30" s="2">
        <v>1029</v>
      </c>
      <c r="B30" s="3" t="s">
        <v>56</v>
      </c>
      <c r="C30" s="3" t="s">
        <v>7</v>
      </c>
      <c r="D30" s="3" t="s">
        <v>8</v>
      </c>
      <c r="E30" s="2">
        <v>13</v>
      </c>
      <c r="F30" s="2">
        <v>50</v>
      </c>
      <c r="G30" s="4">
        <v>45628</v>
      </c>
      <c r="J30" s="44">
        <f t="shared" si="0"/>
        <v>650</v>
      </c>
      <c r="K30" s="46"/>
      <c r="L30" s="46"/>
      <c r="M30" s="46"/>
      <c r="N30" s="46"/>
      <c r="O30" s="46"/>
      <c r="P30" s="46"/>
      <c r="Q30" s="46"/>
      <c r="R30" s="46"/>
      <c r="S30" s="46"/>
      <c r="T30" s="46"/>
    </row>
    <row r="31" spans="1:20" ht="14.4" x14ac:dyDescent="0.3">
      <c r="A31" s="2">
        <v>1030</v>
      </c>
      <c r="B31" s="3" t="s">
        <v>57</v>
      </c>
      <c r="C31" s="3" t="s">
        <v>10</v>
      </c>
      <c r="D31" s="3" t="s">
        <v>11</v>
      </c>
      <c r="E31" s="2">
        <v>32</v>
      </c>
      <c r="F31" s="2">
        <v>10</v>
      </c>
      <c r="G31" s="2" t="s">
        <v>58</v>
      </c>
      <c r="J31" s="44">
        <f t="shared" si="0"/>
        <v>320</v>
      </c>
      <c r="K31" s="46"/>
      <c r="L31" s="46"/>
      <c r="M31" s="46"/>
      <c r="N31" s="46"/>
      <c r="O31" s="46"/>
      <c r="P31" s="46"/>
      <c r="Q31" s="46"/>
      <c r="R31" s="46"/>
      <c r="S31" s="46"/>
      <c r="T31" s="46"/>
    </row>
    <row r="32" spans="1:20" ht="14.4" x14ac:dyDescent="0.3">
      <c r="A32" s="2">
        <v>1031</v>
      </c>
      <c r="B32" s="3" t="s">
        <v>59</v>
      </c>
      <c r="C32" s="3" t="s">
        <v>13</v>
      </c>
      <c r="D32" s="3" t="s">
        <v>14</v>
      </c>
      <c r="E32" s="2">
        <v>10</v>
      </c>
      <c r="F32" s="2">
        <v>25</v>
      </c>
      <c r="G32" s="2" t="s">
        <v>60</v>
      </c>
      <c r="J32" s="44">
        <f t="shared" si="0"/>
        <v>250</v>
      </c>
      <c r="K32" s="46"/>
      <c r="L32" s="46"/>
      <c r="M32" s="46"/>
      <c r="N32" s="46"/>
      <c r="O32" s="46"/>
      <c r="P32" s="46"/>
      <c r="Q32" s="46"/>
      <c r="R32" s="46"/>
      <c r="S32" s="46"/>
      <c r="T32" s="46"/>
    </row>
    <row r="33" spans="1:20" ht="14.4" x14ac:dyDescent="0.3">
      <c r="A33" s="2">
        <v>1032</v>
      </c>
      <c r="B33" s="3" t="s">
        <v>61</v>
      </c>
      <c r="C33" s="3" t="s">
        <v>16</v>
      </c>
      <c r="D33" s="3" t="s">
        <v>18</v>
      </c>
      <c r="E33" s="2">
        <v>18</v>
      </c>
      <c r="F33" s="2">
        <v>5</v>
      </c>
      <c r="G33" s="2" t="s">
        <v>62</v>
      </c>
      <c r="J33" s="44">
        <f t="shared" si="0"/>
        <v>90</v>
      </c>
      <c r="K33" s="46"/>
      <c r="L33" s="46"/>
      <c r="M33" s="46"/>
      <c r="N33" s="46"/>
      <c r="O33" s="46"/>
      <c r="P33" s="46"/>
      <c r="Q33" s="46"/>
      <c r="R33" s="46"/>
      <c r="S33" s="46"/>
      <c r="T33" s="46"/>
    </row>
    <row r="34" spans="1:20" ht="14.4" x14ac:dyDescent="0.3">
      <c r="A34" s="2">
        <v>1033</v>
      </c>
      <c r="B34" s="3" t="s">
        <v>63</v>
      </c>
      <c r="C34" s="3" t="s">
        <v>7</v>
      </c>
      <c r="D34" s="3" t="s">
        <v>21</v>
      </c>
      <c r="E34" s="2">
        <v>22</v>
      </c>
      <c r="F34" s="2">
        <v>8</v>
      </c>
      <c r="G34" s="2" t="s">
        <v>64</v>
      </c>
      <c r="J34" s="44">
        <f t="shared" si="0"/>
        <v>176</v>
      </c>
      <c r="K34" s="46"/>
      <c r="L34" s="46"/>
      <c r="M34" s="46"/>
      <c r="N34" s="46"/>
      <c r="O34" s="46"/>
      <c r="P34" s="46"/>
      <c r="Q34" s="46"/>
      <c r="R34" s="46"/>
      <c r="S34" s="46"/>
      <c r="T34" s="46"/>
    </row>
    <row r="35" spans="1:20" ht="14.4" x14ac:dyDescent="0.3">
      <c r="A35" s="2">
        <v>1034</v>
      </c>
      <c r="B35" s="3" t="s">
        <v>65</v>
      </c>
      <c r="C35" s="3" t="s">
        <v>10</v>
      </c>
      <c r="D35" s="3" t="s">
        <v>8</v>
      </c>
      <c r="E35" s="2">
        <v>17</v>
      </c>
      <c r="F35" s="2">
        <v>50</v>
      </c>
      <c r="G35" s="2" t="s">
        <v>66</v>
      </c>
      <c r="J35" s="44">
        <f t="shared" si="0"/>
        <v>850</v>
      </c>
      <c r="K35" s="46"/>
      <c r="L35" s="46"/>
      <c r="M35" s="46"/>
      <c r="N35" s="46"/>
      <c r="O35" s="46"/>
      <c r="P35" s="46"/>
      <c r="Q35" s="46"/>
      <c r="R35" s="46"/>
      <c r="S35" s="46"/>
      <c r="T35" s="46"/>
    </row>
    <row r="36" spans="1:20" ht="14.4" x14ac:dyDescent="0.3">
      <c r="A36" s="2">
        <v>1035</v>
      </c>
      <c r="B36" s="3" t="s">
        <v>67</v>
      </c>
      <c r="C36" s="3" t="s">
        <v>13</v>
      </c>
      <c r="D36" s="3" t="s">
        <v>11</v>
      </c>
      <c r="E36" s="2">
        <v>19</v>
      </c>
      <c r="F36" s="2">
        <v>10</v>
      </c>
      <c r="G36" s="2" t="s">
        <v>68</v>
      </c>
      <c r="J36" s="44">
        <f t="shared" si="0"/>
        <v>190</v>
      </c>
      <c r="K36" s="46"/>
      <c r="L36" s="46"/>
      <c r="M36" s="46"/>
      <c r="N36" s="46"/>
      <c r="O36" s="46"/>
      <c r="P36" s="46"/>
      <c r="Q36" s="46"/>
      <c r="R36" s="46"/>
      <c r="S36" s="46"/>
      <c r="T36" s="46"/>
    </row>
    <row r="37" spans="1:20" ht="14.4" x14ac:dyDescent="0.3">
      <c r="A37" s="2">
        <v>1036</v>
      </c>
      <c r="B37" s="3" t="s">
        <v>69</v>
      </c>
      <c r="C37" s="3" t="s">
        <v>16</v>
      </c>
      <c r="D37" s="3" t="s">
        <v>14</v>
      </c>
      <c r="E37" s="2">
        <v>15</v>
      </c>
      <c r="F37" s="2">
        <v>25</v>
      </c>
      <c r="G37" s="2" t="s">
        <v>70</v>
      </c>
      <c r="J37" s="44">
        <f t="shared" si="0"/>
        <v>375</v>
      </c>
      <c r="K37" s="46"/>
      <c r="L37" s="46"/>
      <c r="M37" s="46"/>
      <c r="N37" s="46"/>
      <c r="O37" s="46"/>
      <c r="P37" s="46"/>
      <c r="Q37" s="46"/>
      <c r="R37" s="46"/>
      <c r="S37" s="46"/>
      <c r="T37" s="46"/>
    </row>
    <row r="38" spans="1:20" ht="14.4" x14ac:dyDescent="0.3">
      <c r="A38" s="2">
        <v>1037</v>
      </c>
      <c r="B38" s="3" t="s">
        <v>71</v>
      </c>
      <c r="C38" s="3" t="s">
        <v>7</v>
      </c>
      <c r="D38" s="3" t="s">
        <v>18</v>
      </c>
      <c r="E38" s="2">
        <v>28</v>
      </c>
      <c r="F38" s="2">
        <v>5</v>
      </c>
      <c r="G38" s="2" t="s">
        <v>72</v>
      </c>
      <c r="J38" s="44">
        <f t="shared" si="0"/>
        <v>140</v>
      </c>
      <c r="K38" s="46"/>
      <c r="L38" s="46"/>
      <c r="M38" s="46"/>
      <c r="N38" s="46"/>
      <c r="O38" s="46"/>
      <c r="P38" s="46"/>
      <c r="Q38" s="46"/>
      <c r="R38" s="46"/>
      <c r="S38" s="46"/>
      <c r="T38" s="46"/>
    </row>
    <row r="39" spans="1:20" ht="14.4" x14ac:dyDescent="0.3">
      <c r="A39" s="2">
        <v>1038</v>
      </c>
      <c r="B39" s="3" t="s">
        <v>73</v>
      </c>
      <c r="C39" s="3" t="s">
        <v>10</v>
      </c>
      <c r="D39" s="3" t="s">
        <v>21</v>
      </c>
      <c r="E39" s="2">
        <v>24</v>
      </c>
      <c r="F39" s="2">
        <v>8</v>
      </c>
      <c r="G39" s="2" t="s">
        <v>74</v>
      </c>
      <c r="J39" s="44">
        <f t="shared" si="0"/>
        <v>192</v>
      </c>
      <c r="K39" s="46"/>
      <c r="L39" s="46"/>
      <c r="M39" s="46"/>
      <c r="N39" s="46"/>
      <c r="O39" s="46"/>
      <c r="P39" s="46"/>
      <c r="Q39" s="46"/>
      <c r="R39" s="46"/>
      <c r="S39" s="46"/>
      <c r="T39" s="46"/>
    </row>
    <row r="40" spans="1:20" ht="14.4" x14ac:dyDescent="0.3">
      <c r="A40" s="2">
        <v>1039</v>
      </c>
      <c r="B40" s="3" t="s">
        <v>75</v>
      </c>
      <c r="C40" s="3" t="s">
        <v>13</v>
      </c>
      <c r="D40" s="3" t="s">
        <v>8</v>
      </c>
      <c r="E40" s="2">
        <v>16</v>
      </c>
      <c r="F40" s="2">
        <v>50</v>
      </c>
      <c r="G40" s="2" t="s">
        <v>76</v>
      </c>
      <c r="J40" s="44">
        <f t="shared" si="0"/>
        <v>800</v>
      </c>
      <c r="K40" s="46"/>
      <c r="L40" s="46"/>
      <c r="M40" s="46"/>
      <c r="N40" s="46"/>
      <c r="O40" s="46"/>
      <c r="P40" s="46"/>
      <c r="Q40" s="46"/>
      <c r="R40" s="46"/>
      <c r="S40" s="46"/>
      <c r="T40" s="46"/>
    </row>
    <row r="41" spans="1:20" ht="14.4" x14ac:dyDescent="0.3">
      <c r="A41" s="2">
        <v>1040</v>
      </c>
      <c r="B41" s="3" t="s">
        <v>77</v>
      </c>
      <c r="C41" s="3" t="s">
        <v>16</v>
      </c>
      <c r="D41" s="3" t="s">
        <v>11</v>
      </c>
      <c r="E41" s="2">
        <v>27</v>
      </c>
      <c r="F41" s="2">
        <v>10</v>
      </c>
      <c r="G41" s="2" t="s">
        <v>78</v>
      </c>
      <c r="J41" s="44">
        <f t="shared" si="0"/>
        <v>270</v>
      </c>
      <c r="K41" s="46"/>
      <c r="L41" s="46"/>
      <c r="M41" s="46"/>
      <c r="N41" s="46"/>
      <c r="O41" s="46"/>
      <c r="P41" s="46"/>
      <c r="Q41" s="46"/>
      <c r="R41" s="46"/>
      <c r="S41" s="46"/>
      <c r="T41" s="46"/>
    </row>
    <row r="42" spans="1:20" ht="14.4" x14ac:dyDescent="0.3">
      <c r="A42" s="2">
        <v>1041</v>
      </c>
      <c r="B42" s="3" t="s">
        <v>79</v>
      </c>
      <c r="C42" s="3" t="s">
        <v>7</v>
      </c>
      <c r="D42" s="3" t="s">
        <v>14</v>
      </c>
      <c r="E42" s="2">
        <v>21</v>
      </c>
      <c r="F42" s="2">
        <v>25</v>
      </c>
      <c r="G42" s="2" t="s">
        <v>80</v>
      </c>
      <c r="J42" s="44">
        <f t="shared" si="0"/>
        <v>525</v>
      </c>
      <c r="K42" s="46"/>
      <c r="L42" s="46"/>
      <c r="M42" s="46"/>
      <c r="N42" s="46"/>
      <c r="O42" s="46"/>
      <c r="P42" s="46"/>
      <c r="Q42" s="46"/>
      <c r="R42" s="46"/>
      <c r="S42" s="46"/>
      <c r="T42" s="46"/>
    </row>
    <row r="43" spans="1:20" ht="14.4" x14ac:dyDescent="0.3">
      <c r="A43" s="2">
        <v>1042</v>
      </c>
      <c r="B43" s="3" t="s">
        <v>81</v>
      </c>
      <c r="C43" s="3" t="s">
        <v>10</v>
      </c>
      <c r="D43" s="3" t="s">
        <v>18</v>
      </c>
      <c r="E43" s="2">
        <v>30</v>
      </c>
      <c r="F43" s="2">
        <v>5</v>
      </c>
      <c r="G43" s="2" t="s">
        <v>82</v>
      </c>
      <c r="J43" s="44">
        <f t="shared" si="0"/>
        <v>150</v>
      </c>
      <c r="K43" s="46"/>
      <c r="L43" s="46"/>
      <c r="M43" s="46"/>
      <c r="N43" s="46"/>
      <c r="O43" s="46"/>
      <c r="P43" s="46"/>
      <c r="Q43" s="46"/>
      <c r="R43" s="46"/>
      <c r="S43" s="46"/>
      <c r="T43" s="46"/>
    </row>
    <row r="44" spans="1:20" ht="14.4" x14ac:dyDescent="0.3">
      <c r="A44" s="2">
        <v>1043</v>
      </c>
      <c r="B44" s="3" t="s">
        <v>83</v>
      </c>
      <c r="C44" s="3" t="s">
        <v>13</v>
      </c>
      <c r="D44" s="3" t="s">
        <v>21</v>
      </c>
      <c r="E44" s="2">
        <v>26</v>
      </c>
      <c r="F44" s="2">
        <v>8</v>
      </c>
      <c r="G44" s="4">
        <v>45294</v>
      </c>
      <c r="J44" s="44">
        <f t="shared" si="0"/>
        <v>208</v>
      </c>
      <c r="K44" s="46"/>
      <c r="L44" s="46"/>
      <c r="M44" s="46"/>
      <c r="N44" s="46"/>
      <c r="O44" s="46"/>
      <c r="P44" s="46"/>
      <c r="Q44" s="46"/>
      <c r="R44" s="46"/>
      <c r="S44" s="46"/>
      <c r="T44" s="46"/>
    </row>
    <row r="45" spans="1:20" ht="14.4" x14ac:dyDescent="0.3">
      <c r="A45" s="2">
        <v>1044</v>
      </c>
      <c r="B45" s="3" t="s">
        <v>84</v>
      </c>
      <c r="C45" s="3" t="s">
        <v>16</v>
      </c>
      <c r="D45" s="3" t="s">
        <v>8</v>
      </c>
      <c r="E45" s="2">
        <v>14</v>
      </c>
      <c r="F45" s="2">
        <v>50</v>
      </c>
      <c r="G45" s="4">
        <v>45325</v>
      </c>
      <c r="J45" s="44">
        <f t="shared" si="0"/>
        <v>700</v>
      </c>
      <c r="K45" s="46"/>
      <c r="L45" s="46"/>
      <c r="M45" s="46"/>
      <c r="N45" s="46"/>
      <c r="O45" s="46"/>
      <c r="P45" s="46"/>
      <c r="Q45" s="46"/>
      <c r="R45" s="46"/>
      <c r="S45" s="46"/>
      <c r="T45" s="46"/>
    </row>
    <row r="46" spans="1:20" ht="14.4" x14ac:dyDescent="0.3">
      <c r="A46" s="2">
        <v>1045</v>
      </c>
      <c r="B46" s="3" t="s">
        <v>85</v>
      </c>
      <c r="C46" s="3" t="s">
        <v>7</v>
      </c>
      <c r="D46" s="3" t="s">
        <v>11</v>
      </c>
      <c r="E46" s="2">
        <v>20</v>
      </c>
      <c r="F46" s="2">
        <v>10</v>
      </c>
      <c r="G46" s="4">
        <v>45354</v>
      </c>
      <c r="J46" s="44">
        <f t="shared" si="0"/>
        <v>200</v>
      </c>
      <c r="K46" s="46"/>
      <c r="L46" s="46"/>
      <c r="M46" s="46"/>
      <c r="N46" s="46"/>
      <c r="O46" s="46"/>
      <c r="P46" s="46"/>
      <c r="Q46" s="46"/>
      <c r="R46" s="46"/>
      <c r="S46" s="46"/>
      <c r="T46" s="46"/>
    </row>
    <row r="47" spans="1:20" ht="14.4" x14ac:dyDescent="0.3">
      <c r="A47" s="2">
        <v>1046</v>
      </c>
      <c r="B47" s="3" t="s">
        <v>86</v>
      </c>
      <c r="C47" s="3" t="s">
        <v>10</v>
      </c>
      <c r="D47" s="3" t="s">
        <v>14</v>
      </c>
      <c r="E47" s="2">
        <v>17</v>
      </c>
      <c r="F47" s="2">
        <v>25</v>
      </c>
      <c r="G47" s="4">
        <v>45385</v>
      </c>
      <c r="J47" s="44">
        <f t="shared" si="0"/>
        <v>425</v>
      </c>
      <c r="K47" s="46"/>
      <c r="L47" s="46"/>
      <c r="M47" s="46"/>
      <c r="N47" s="46"/>
      <c r="O47" s="46"/>
      <c r="P47" s="46"/>
      <c r="Q47" s="46"/>
      <c r="R47" s="46"/>
      <c r="S47" s="46"/>
      <c r="T47" s="46"/>
    </row>
    <row r="48" spans="1:20" ht="14.4" x14ac:dyDescent="0.3">
      <c r="A48" s="2">
        <v>1047</v>
      </c>
      <c r="B48" s="3" t="s">
        <v>87</v>
      </c>
      <c r="C48" s="3" t="s">
        <v>13</v>
      </c>
      <c r="D48" s="3" t="s">
        <v>18</v>
      </c>
      <c r="E48" s="2">
        <v>19</v>
      </c>
      <c r="F48" s="2">
        <v>5</v>
      </c>
      <c r="G48" s="4">
        <v>45415</v>
      </c>
      <c r="J48" s="44">
        <f t="shared" si="0"/>
        <v>95</v>
      </c>
      <c r="K48" s="46"/>
      <c r="L48" s="46"/>
      <c r="M48" s="46"/>
      <c r="N48" s="46"/>
      <c r="O48" s="46"/>
      <c r="P48" s="46"/>
      <c r="Q48" s="46"/>
      <c r="R48" s="46"/>
      <c r="S48" s="46"/>
      <c r="T48" s="46"/>
    </row>
    <row r="49" spans="1:20" ht="14.4" x14ac:dyDescent="0.3">
      <c r="A49" s="2">
        <v>1048</v>
      </c>
      <c r="B49" s="3" t="s">
        <v>88</v>
      </c>
      <c r="C49" s="3" t="s">
        <v>16</v>
      </c>
      <c r="D49" s="3" t="s">
        <v>21</v>
      </c>
      <c r="E49" s="2">
        <v>32</v>
      </c>
      <c r="F49" s="2">
        <v>8</v>
      </c>
      <c r="G49" s="4">
        <v>45446</v>
      </c>
      <c r="J49" s="44">
        <f t="shared" si="0"/>
        <v>256</v>
      </c>
      <c r="K49" s="46"/>
      <c r="L49" s="46"/>
      <c r="M49" s="46"/>
      <c r="N49" s="46"/>
      <c r="O49" s="46"/>
      <c r="P49" s="46"/>
      <c r="Q49" s="46"/>
      <c r="R49" s="46"/>
      <c r="S49" s="46"/>
      <c r="T49" s="46"/>
    </row>
    <row r="50" spans="1:20" ht="14.4" x14ac:dyDescent="0.3">
      <c r="A50" s="2">
        <v>1049</v>
      </c>
      <c r="B50" s="3" t="s">
        <v>89</v>
      </c>
      <c r="C50" s="3" t="s">
        <v>7</v>
      </c>
      <c r="D50" s="3" t="s">
        <v>8</v>
      </c>
      <c r="E50" s="2">
        <v>12</v>
      </c>
      <c r="F50" s="2">
        <v>50</v>
      </c>
      <c r="G50" s="4">
        <v>45476</v>
      </c>
      <c r="J50" s="44">
        <f t="shared" si="0"/>
        <v>600</v>
      </c>
      <c r="K50" s="46"/>
      <c r="L50" s="46"/>
      <c r="M50" s="46"/>
      <c r="N50" s="46"/>
      <c r="O50" s="46"/>
      <c r="P50" s="46"/>
      <c r="Q50" s="46"/>
      <c r="R50" s="46"/>
      <c r="S50" s="46"/>
      <c r="T50" s="46"/>
    </row>
    <row r="51" spans="1:20" ht="14.4" x14ac:dyDescent="0.3">
      <c r="A51" s="2">
        <v>1050</v>
      </c>
      <c r="B51" s="3" t="s">
        <v>90</v>
      </c>
      <c r="C51" s="3" t="s">
        <v>10</v>
      </c>
      <c r="D51" s="3" t="s">
        <v>11</v>
      </c>
      <c r="E51" s="2">
        <v>25</v>
      </c>
      <c r="F51" s="2">
        <v>10</v>
      </c>
      <c r="G51" s="4">
        <v>45507</v>
      </c>
      <c r="J51" s="44">
        <f t="shared" si="0"/>
        <v>250</v>
      </c>
      <c r="K51" s="46"/>
      <c r="L51" s="46"/>
      <c r="M51" s="46"/>
      <c r="N51" s="46"/>
      <c r="O51" s="46"/>
      <c r="P51" s="46"/>
      <c r="Q51" s="46"/>
      <c r="R51" s="46"/>
      <c r="S51" s="46"/>
      <c r="T51" s="46"/>
    </row>
    <row r="57" spans="1:20" x14ac:dyDescent="0.25">
      <c r="C57" s="68" t="s">
        <v>146</v>
      </c>
      <c r="D57" s="68" t="s">
        <v>147</v>
      </c>
    </row>
    <row r="58" spans="1:20" ht="14.4" x14ac:dyDescent="0.3">
      <c r="C58" s="69" t="s">
        <v>18</v>
      </c>
      <c r="D58" s="70">
        <f>SUMIF(D2:D51,"Pencil",J2:J51)</f>
        <v>1235</v>
      </c>
    </row>
    <row r="59" spans="1:20" ht="14.4" x14ac:dyDescent="0.3">
      <c r="C59" s="69" t="s">
        <v>21</v>
      </c>
      <c r="D59" s="70">
        <f>SUMIF(D3:D52,"Eraser",J3:J52)</f>
        <v>1928</v>
      </c>
    </row>
    <row r="60" spans="1:20" ht="14.4" x14ac:dyDescent="0.3">
      <c r="C60" s="69" t="s">
        <v>14</v>
      </c>
      <c r="D60" s="70">
        <f>SUMIF(D4:D53,"Marker",J4:J53)</f>
        <v>3650</v>
      </c>
    </row>
    <row r="61" spans="1:20" ht="14.4" x14ac:dyDescent="0.3">
      <c r="C61" s="69" t="s">
        <v>8</v>
      </c>
      <c r="D61" s="70">
        <f>SUMIF(D5:D54,"Notebook",J5:J54)</f>
        <v>7050</v>
      </c>
    </row>
    <row r="62" spans="1:20" ht="14.4" x14ac:dyDescent="0.3">
      <c r="C62" s="69" t="s">
        <v>11</v>
      </c>
      <c r="D62" s="70">
        <f>SUMIF(D6:D55,"Pen",J6:J55)</f>
        <v>1980</v>
      </c>
      <c r="E62" s="3"/>
    </row>
    <row r="63" spans="1:20" ht="14.4" x14ac:dyDescent="0.3">
      <c r="C63" s="3"/>
      <c r="E63" s="3"/>
    </row>
    <row r="64" spans="1:20" ht="14.4" x14ac:dyDescent="0.3">
      <c r="C64" s="3"/>
      <c r="E64" s="3"/>
    </row>
    <row r="65" spans="3:5" ht="14.4" x14ac:dyDescent="0.3">
      <c r="C65" s="3"/>
      <c r="E65" s="3"/>
    </row>
    <row r="66" spans="3:5" ht="14.4" x14ac:dyDescent="0.3">
      <c r="C66" s="3"/>
      <c r="E66" s="3"/>
    </row>
    <row r="67" spans="3:5" ht="14.4" x14ac:dyDescent="0.3">
      <c r="C67" s="3"/>
    </row>
  </sheetData>
  <sortState xmlns:xlrd2="http://schemas.microsoft.com/office/spreadsheetml/2017/richdata2" ref="C59:C62">
    <sortCondition ref="C59:C62"/>
  </sortState>
  <pageMargins left="0.7" right="0.7" top="0.75" bottom="0.75" header="0.3" footer="0.3"/>
  <pageSetup orientation="portrait" r:id="rId1"/>
  <ignoredErrors>
    <ignoredError sqref="J2:J7 J21:J30 J44:J51" formulaRange="1"/>
  </ignoredErrors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08CE17BE-0C18-482E-89AF-599C99A11272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'Q7 answ'!D1:D51</xm:f>
              <xm:sqref>E1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D4BE9-9208-4D11-B4F4-931C85649D84}">
  <dimension ref="A1:W53"/>
  <sheetViews>
    <sheetView zoomScale="85" zoomScaleNormal="85" workbookViewId="0">
      <selection activeCell="M29" sqref="M29"/>
    </sheetView>
  </sheetViews>
  <sheetFormatPr defaultRowHeight="13.2" x14ac:dyDescent="0.25"/>
  <cols>
    <col min="1" max="1" width="11.109375" bestFit="1" customWidth="1"/>
    <col min="2" max="2" width="20.88671875" bestFit="1" customWidth="1"/>
    <col min="3" max="3" width="9.88671875" bestFit="1" customWidth="1"/>
    <col min="4" max="4" width="10.88671875" bestFit="1" customWidth="1"/>
    <col min="5" max="5" width="13.109375" bestFit="1" customWidth="1"/>
    <col min="6" max="6" width="12.6640625" bestFit="1" customWidth="1"/>
    <col min="7" max="7" width="14.44140625" bestFit="1" customWidth="1"/>
    <col min="9" max="9" width="14.6640625" customWidth="1"/>
    <col min="12" max="12" width="13.5546875" bestFit="1" customWidth="1"/>
    <col min="13" max="13" width="97.44140625" bestFit="1" customWidth="1"/>
  </cols>
  <sheetData>
    <row r="1" spans="1:23" ht="24.6" x14ac:dyDescent="0.4">
      <c r="A1" s="41" t="s">
        <v>0</v>
      </c>
      <c r="B1" s="41" t="s">
        <v>1</v>
      </c>
      <c r="C1" s="41" t="s">
        <v>2</v>
      </c>
      <c r="D1" s="41" t="s">
        <v>3</v>
      </c>
      <c r="E1" s="42" t="s">
        <v>4</v>
      </c>
      <c r="F1" s="41" t="s">
        <v>5</v>
      </c>
      <c r="G1" s="41" t="s">
        <v>6</v>
      </c>
      <c r="I1" s="43" t="s">
        <v>132</v>
      </c>
      <c r="J1" s="46"/>
      <c r="K1" s="46"/>
      <c r="L1" s="46"/>
      <c r="M1" s="46"/>
      <c r="N1" s="48"/>
      <c r="O1" s="48"/>
      <c r="P1" s="48"/>
      <c r="Q1" s="48"/>
      <c r="R1" s="46"/>
      <c r="S1" s="46"/>
      <c r="T1" s="46"/>
      <c r="U1" s="46"/>
      <c r="V1" s="46"/>
      <c r="W1" s="46"/>
    </row>
    <row r="2" spans="1:23" ht="14.4" x14ac:dyDescent="0.3">
      <c r="A2" s="2">
        <v>1001</v>
      </c>
      <c r="B2" s="3" t="s">
        <v>111</v>
      </c>
      <c r="C2" s="3" t="s">
        <v>7</v>
      </c>
      <c r="D2" s="3" t="s">
        <v>8</v>
      </c>
      <c r="E2" s="2">
        <v>10</v>
      </c>
      <c r="F2" s="2">
        <v>50</v>
      </c>
      <c r="G2" s="4">
        <v>45413</v>
      </c>
      <c r="I2" s="44">
        <f t="shared" ref="I2:I33" si="0">PRODUCT(E2:F2)</f>
        <v>500</v>
      </c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</row>
    <row r="3" spans="1:23" ht="24.6" x14ac:dyDescent="0.4">
      <c r="A3" s="2">
        <v>1002</v>
      </c>
      <c r="B3" s="3" t="s">
        <v>9</v>
      </c>
      <c r="C3" s="3" t="s">
        <v>10</v>
      </c>
      <c r="D3" s="3" t="s">
        <v>11</v>
      </c>
      <c r="E3" s="2">
        <v>20</v>
      </c>
      <c r="F3" s="2">
        <v>10</v>
      </c>
      <c r="G3" s="4">
        <v>45444</v>
      </c>
      <c r="I3" s="44">
        <f t="shared" si="0"/>
        <v>200</v>
      </c>
      <c r="J3" s="54"/>
      <c r="K3" s="57" t="s">
        <v>144</v>
      </c>
      <c r="L3" s="57" t="s">
        <v>141</v>
      </c>
      <c r="M3" s="54"/>
      <c r="N3" s="46"/>
      <c r="O3" s="46"/>
      <c r="P3" s="46"/>
      <c r="Q3" s="46"/>
      <c r="R3" s="46"/>
      <c r="S3" s="46"/>
      <c r="T3" s="46"/>
      <c r="U3" s="46"/>
      <c r="V3" s="46"/>
      <c r="W3" s="46"/>
    </row>
    <row r="4" spans="1:23" ht="17.399999999999999" x14ac:dyDescent="0.3">
      <c r="A4" s="2">
        <v>1003</v>
      </c>
      <c r="B4" s="3" t="s">
        <v>12</v>
      </c>
      <c r="C4" s="3" t="s">
        <v>13</v>
      </c>
      <c r="D4" s="3" t="s">
        <v>14</v>
      </c>
      <c r="E4" s="2">
        <v>15</v>
      </c>
      <c r="F4" s="2">
        <v>25</v>
      </c>
      <c r="G4" s="4">
        <v>45474</v>
      </c>
      <c r="I4" s="44">
        <f t="shared" si="0"/>
        <v>375</v>
      </c>
      <c r="J4" s="46"/>
      <c r="K4" s="49" t="s">
        <v>133</v>
      </c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</row>
    <row r="5" spans="1:23" ht="14.4" x14ac:dyDescent="0.3">
      <c r="A5" s="2">
        <v>1004</v>
      </c>
      <c r="B5" s="3" t="s">
        <v>15</v>
      </c>
      <c r="C5" s="3" t="s">
        <v>16</v>
      </c>
      <c r="D5" s="3" t="s">
        <v>8</v>
      </c>
      <c r="E5" s="2">
        <v>5</v>
      </c>
      <c r="F5" s="2">
        <v>50</v>
      </c>
      <c r="G5" s="4">
        <v>45505</v>
      </c>
      <c r="I5" s="44">
        <f t="shared" si="0"/>
        <v>250</v>
      </c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</row>
    <row r="6" spans="1:23" ht="14.4" x14ac:dyDescent="0.3">
      <c r="A6" s="2">
        <v>1005</v>
      </c>
      <c r="B6" s="3" t="s">
        <v>17</v>
      </c>
      <c r="C6" s="3" t="s">
        <v>7</v>
      </c>
      <c r="D6" s="3" t="s">
        <v>18</v>
      </c>
      <c r="E6" s="2">
        <v>30</v>
      </c>
      <c r="F6" s="2">
        <v>5</v>
      </c>
      <c r="G6" s="4">
        <v>45566</v>
      </c>
      <c r="I6" s="44">
        <f t="shared" si="0"/>
        <v>150</v>
      </c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</row>
    <row r="7" spans="1:23" ht="14.4" x14ac:dyDescent="0.3">
      <c r="A7" s="2">
        <v>1006</v>
      </c>
      <c r="B7" s="3" t="s">
        <v>19</v>
      </c>
      <c r="C7" s="3" t="s">
        <v>10</v>
      </c>
      <c r="D7" s="3" t="s">
        <v>8</v>
      </c>
      <c r="E7" s="2">
        <v>12</v>
      </c>
      <c r="F7" s="2">
        <v>50</v>
      </c>
      <c r="G7" s="4">
        <v>45597</v>
      </c>
      <c r="I7" s="44">
        <f t="shared" si="0"/>
        <v>600</v>
      </c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</row>
    <row r="8" spans="1:23" ht="14.4" x14ac:dyDescent="0.3">
      <c r="A8" s="2">
        <v>1007</v>
      </c>
      <c r="B8" s="3" t="s">
        <v>20</v>
      </c>
      <c r="C8" s="3" t="s">
        <v>13</v>
      </c>
      <c r="D8" s="3" t="s">
        <v>21</v>
      </c>
      <c r="E8" s="2">
        <v>25</v>
      </c>
      <c r="F8" s="2">
        <v>8</v>
      </c>
      <c r="G8" s="2" t="s">
        <v>22</v>
      </c>
      <c r="I8" s="44">
        <f t="shared" si="0"/>
        <v>200</v>
      </c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</row>
    <row r="9" spans="1:23" ht="14.4" x14ac:dyDescent="0.3">
      <c r="A9" s="2">
        <v>1008</v>
      </c>
      <c r="B9" s="3" t="s">
        <v>23</v>
      </c>
      <c r="C9" s="3" t="s">
        <v>16</v>
      </c>
      <c r="D9" s="3" t="s">
        <v>11</v>
      </c>
      <c r="E9" s="2">
        <v>18</v>
      </c>
      <c r="F9" s="2">
        <v>10</v>
      </c>
      <c r="G9" s="2" t="s">
        <v>24</v>
      </c>
      <c r="I9" s="44">
        <f t="shared" si="0"/>
        <v>180</v>
      </c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</row>
    <row r="10" spans="1:23" ht="14.4" x14ac:dyDescent="0.3">
      <c r="A10" s="2">
        <v>1009</v>
      </c>
      <c r="B10" s="3" t="s">
        <v>25</v>
      </c>
      <c r="C10" s="3" t="s">
        <v>7</v>
      </c>
      <c r="D10" s="3" t="s">
        <v>14</v>
      </c>
      <c r="E10" s="2">
        <v>22</v>
      </c>
      <c r="F10" s="2">
        <v>25</v>
      </c>
      <c r="G10" s="2" t="s">
        <v>26</v>
      </c>
      <c r="I10" s="44">
        <f t="shared" si="0"/>
        <v>550</v>
      </c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</row>
    <row r="11" spans="1:23" ht="14.4" x14ac:dyDescent="0.3">
      <c r="A11" s="2">
        <v>1010</v>
      </c>
      <c r="B11" s="3" t="s">
        <v>27</v>
      </c>
      <c r="C11" s="3" t="s">
        <v>10</v>
      </c>
      <c r="D11" s="3" t="s">
        <v>8</v>
      </c>
      <c r="E11" s="2">
        <v>8</v>
      </c>
      <c r="F11" s="2">
        <v>50</v>
      </c>
      <c r="G11" s="2" t="s">
        <v>28</v>
      </c>
      <c r="I11" s="44">
        <f t="shared" si="0"/>
        <v>400</v>
      </c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</row>
    <row r="12" spans="1:23" ht="14.4" x14ac:dyDescent="0.3">
      <c r="A12" s="2">
        <v>1011</v>
      </c>
      <c r="B12" s="3" t="s">
        <v>29</v>
      </c>
      <c r="C12" s="3" t="s">
        <v>13</v>
      </c>
      <c r="D12" s="3" t="s">
        <v>18</v>
      </c>
      <c r="E12" s="2">
        <v>40</v>
      </c>
      <c r="F12" s="2">
        <v>5</v>
      </c>
      <c r="G12" s="2" t="s">
        <v>30</v>
      </c>
      <c r="I12" s="44">
        <f t="shared" si="0"/>
        <v>200</v>
      </c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</row>
    <row r="13" spans="1:23" ht="14.4" x14ac:dyDescent="0.3">
      <c r="A13" s="2">
        <v>1012</v>
      </c>
      <c r="B13" s="3" t="s">
        <v>31</v>
      </c>
      <c r="C13" s="3" t="s">
        <v>16</v>
      </c>
      <c r="D13" s="3" t="s">
        <v>21</v>
      </c>
      <c r="E13" s="2">
        <v>35</v>
      </c>
      <c r="F13" s="2">
        <v>8</v>
      </c>
      <c r="G13" s="2" t="s">
        <v>32</v>
      </c>
      <c r="I13" s="44">
        <f t="shared" si="0"/>
        <v>280</v>
      </c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</row>
    <row r="14" spans="1:23" ht="14.4" x14ac:dyDescent="0.3">
      <c r="A14" s="2">
        <v>1013</v>
      </c>
      <c r="B14" s="3" t="s">
        <v>33</v>
      </c>
      <c r="C14" s="3" t="s">
        <v>7</v>
      </c>
      <c r="D14" s="3" t="s">
        <v>8</v>
      </c>
      <c r="E14" s="2">
        <v>14</v>
      </c>
      <c r="F14" s="2">
        <v>50</v>
      </c>
      <c r="G14" s="2" t="s">
        <v>34</v>
      </c>
      <c r="I14" s="44">
        <f t="shared" si="0"/>
        <v>700</v>
      </c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</row>
    <row r="15" spans="1:23" ht="14.4" x14ac:dyDescent="0.3">
      <c r="A15" s="2">
        <v>1014</v>
      </c>
      <c r="B15" s="3" t="s">
        <v>35</v>
      </c>
      <c r="C15" s="3" t="s">
        <v>10</v>
      </c>
      <c r="D15" s="3" t="s">
        <v>11</v>
      </c>
      <c r="E15" s="2">
        <v>28</v>
      </c>
      <c r="F15" s="2">
        <v>10</v>
      </c>
      <c r="G15" s="2" t="s">
        <v>36</v>
      </c>
      <c r="I15" s="44">
        <f t="shared" si="0"/>
        <v>280</v>
      </c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</row>
    <row r="16" spans="1:23" ht="14.4" x14ac:dyDescent="0.3">
      <c r="A16" s="2">
        <v>1015</v>
      </c>
      <c r="B16" s="3" t="s">
        <v>37</v>
      </c>
      <c r="C16" s="3" t="s">
        <v>13</v>
      </c>
      <c r="D16" s="3" t="s">
        <v>14</v>
      </c>
      <c r="E16" s="2">
        <v>12</v>
      </c>
      <c r="F16" s="2">
        <v>25</v>
      </c>
      <c r="G16" s="2" t="s">
        <v>38</v>
      </c>
      <c r="I16" s="44">
        <f t="shared" si="0"/>
        <v>300</v>
      </c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</row>
    <row r="17" spans="1:23" ht="14.4" x14ac:dyDescent="0.3">
      <c r="A17" s="2">
        <v>1016</v>
      </c>
      <c r="B17" s="3" t="s">
        <v>39</v>
      </c>
      <c r="C17" s="3" t="s">
        <v>16</v>
      </c>
      <c r="D17" s="3" t="s">
        <v>18</v>
      </c>
      <c r="E17" s="2">
        <v>25</v>
      </c>
      <c r="F17" s="2">
        <v>5</v>
      </c>
      <c r="G17" s="2" t="s">
        <v>40</v>
      </c>
      <c r="I17" s="44">
        <f t="shared" si="0"/>
        <v>125</v>
      </c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</row>
    <row r="18" spans="1:23" ht="14.4" x14ac:dyDescent="0.3">
      <c r="A18" s="2">
        <v>1017</v>
      </c>
      <c r="B18" s="3" t="s">
        <v>41</v>
      </c>
      <c r="C18" s="3" t="s">
        <v>7</v>
      </c>
      <c r="D18" s="3" t="s">
        <v>21</v>
      </c>
      <c r="E18" s="2">
        <v>20</v>
      </c>
      <c r="F18" s="2">
        <v>8</v>
      </c>
      <c r="G18" s="2" t="s">
        <v>42</v>
      </c>
      <c r="I18" s="44">
        <f t="shared" si="0"/>
        <v>160</v>
      </c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</row>
    <row r="19" spans="1:23" ht="14.4" x14ac:dyDescent="0.3">
      <c r="A19" s="2">
        <v>1018</v>
      </c>
      <c r="B19" s="3" t="s">
        <v>43</v>
      </c>
      <c r="C19" s="3" t="s">
        <v>10</v>
      </c>
      <c r="D19" s="3" t="s">
        <v>8</v>
      </c>
      <c r="E19" s="2">
        <v>10</v>
      </c>
      <c r="F19" s="2">
        <v>50</v>
      </c>
      <c r="G19" s="2" t="s">
        <v>44</v>
      </c>
      <c r="I19" s="44">
        <f t="shared" si="0"/>
        <v>500</v>
      </c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</row>
    <row r="20" spans="1:23" ht="14.4" x14ac:dyDescent="0.3">
      <c r="A20" s="2">
        <v>1019</v>
      </c>
      <c r="B20" s="3" t="s">
        <v>45</v>
      </c>
      <c r="C20" s="3" t="s">
        <v>13</v>
      </c>
      <c r="D20" s="3" t="s">
        <v>11</v>
      </c>
      <c r="E20" s="2">
        <v>15</v>
      </c>
      <c r="F20" s="2">
        <v>10</v>
      </c>
      <c r="G20" s="2" t="s">
        <v>46</v>
      </c>
      <c r="I20" s="44">
        <f t="shared" si="0"/>
        <v>150</v>
      </c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</row>
    <row r="21" spans="1:23" ht="14.4" x14ac:dyDescent="0.3">
      <c r="A21" s="2">
        <v>1020</v>
      </c>
      <c r="B21" s="3" t="s">
        <v>47</v>
      </c>
      <c r="C21" s="3" t="s">
        <v>16</v>
      </c>
      <c r="D21" s="3" t="s">
        <v>14</v>
      </c>
      <c r="E21" s="2">
        <v>18</v>
      </c>
      <c r="F21" s="2">
        <v>25</v>
      </c>
      <c r="G21" s="4">
        <v>45293</v>
      </c>
      <c r="I21" s="44">
        <f t="shared" si="0"/>
        <v>450</v>
      </c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</row>
    <row r="22" spans="1:23" ht="14.4" x14ac:dyDescent="0.3">
      <c r="A22" s="2">
        <v>1021</v>
      </c>
      <c r="B22" s="3" t="s">
        <v>48</v>
      </c>
      <c r="C22" s="3" t="s">
        <v>7</v>
      </c>
      <c r="D22" s="3" t="s">
        <v>8</v>
      </c>
      <c r="E22" s="2">
        <v>9</v>
      </c>
      <c r="F22" s="2">
        <v>50</v>
      </c>
      <c r="G22" s="4">
        <v>45324</v>
      </c>
      <c r="I22" s="44">
        <f t="shared" si="0"/>
        <v>450</v>
      </c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</row>
    <row r="23" spans="1:23" ht="14.4" x14ac:dyDescent="0.3">
      <c r="A23" s="2">
        <v>1022</v>
      </c>
      <c r="B23" s="3" t="s">
        <v>49</v>
      </c>
      <c r="C23" s="3" t="s">
        <v>10</v>
      </c>
      <c r="D23" s="3" t="s">
        <v>18</v>
      </c>
      <c r="E23" s="2">
        <v>35</v>
      </c>
      <c r="F23" s="2">
        <v>5</v>
      </c>
      <c r="G23" s="4">
        <v>45353</v>
      </c>
      <c r="I23" s="44">
        <f t="shared" si="0"/>
        <v>175</v>
      </c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</row>
    <row r="24" spans="1:23" ht="14.4" x14ac:dyDescent="0.3">
      <c r="A24" s="2">
        <v>1023</v>
      </c>
      <c r="B24" s="3" t="s">
        <v>50</v>
      </c>
      <c r="C24" s="3" t="s">
        <v>13</v>
      </c>
      <c r="D24" s="3" t="s">
        <v>21</v>
      </c>
      <c r="E24" s="2">
        <v>30</v>
      </c>
      <c r="F24" s="2">
        <v>8</v>
      </c>
      <c r="G24" s="4">
        <v>45384</v>
      </c>
      <c r="I24" s="44">
        <f t="shared" si="0"/>
        <v>240</v>
      </c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</row>
    <row r="25" spans="1:23" ht="14.4" x14ac:dyDescent="0.3">
      <c r="A25" s="2">
        <v>1024</v>
      </c>
      <c r="B25" s="3" t="s">
        <v>51</v>
      </c>
      <c r="C25" s="3" t="s">
        <v>16</v>
      </c>
      <c r="D25" s="3" t="s">
        <v>8</v>
      </c>
      <c r="E25" s="2">
        <v>11</v>
      </c>
      <c r="F25" s="2">
        <v>50</v>
      </c>
      <c r="G25" s="4">
        <v>45445</v>
      </c>
      <c r="I25" s="44">
        <f t="shared" si="0"/>
        <v>550</v>
      </c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</row>
    <row r="26" spans="1:23" ht="14.4" x14ac:dyDescent="0.3">
      <c r="A26" s="2">
        <v>1025</v>
      </c>
      <c r="B26" s="3" t="s">
        <v>52</v>
      </c>
      <c r="C26" s="3" t="s">
        <v>7</v>
      </c>
      <c r="D26" s="3" t="s">
        <v>11</v>
      </c>
      <c r="E26" s="2">
        <v>14</v>
      </c>
      <c r="F26" s="2">
        <v>10</v>
      </c>
      <c r="G26" s="4">
        <v>45475</v>
      </c>
      <c r="I26" s="44">
        <f t="shared" si="0"/>
        <v>140</v>
      </c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</row>
    <row r="27" spans="1:23" ht="14.4" x14ac:dyDescent="0.3">
      <c r="A27" s="2">
        <v>1026</v>
      </c>
      <c r="B27" s="3" t="s">
        <v>53</v>
      </c>
      <c r="C27" s="3" t="s">
        <v>10</v>
      </c>
      <c r="D27" s="3" t="s">
        <v>14</v>
      </c>
      <c r="E27" s="2">
        <v>16</v>
      </c>
      <c r="F27" s="2">
        <v>25</v>
      </c>
      <c r="G27" s="4">
        <v>45506</v>
      </c>
      <c r="I27" s="44">
        <f t="shared" si="0"/>
        <v>400</v>
      </c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</row>
    <row r="28" spans="1:23" ht="14.4" x14ac:dyDescent="0.3">
      <c r="A28" s="2">
        <v>1027</v>
      </c>
      <c r="B28" s="3" t="s">
        <v>54</v>
      </c>
      <c r="C28" s="3" t="s">
        <v>13</v>
      </c>
      <c r="D28" s="3" t="s">
        <v>18</v>
      </c>
      <c r="E28" s="2">
        <v>22</v>
      </c>
      <c r="F28" s="2">
        <v>5</v>
      </c>
      <c r="G28" s="4">
        <v>45537</v>
      </c>
      <c r="I28" s="44">
        <f t="shared" si="0"/>
        <v>110</v>
      </c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</row>
    <row r="29" spans="1:23" ht="14.4" x14ac:dyDescent="0.3">
      <c r="A29" s="2">
        <v>1028</v>
      </c>
      <c r="B29" s="3" t="s">
        <v>55</v>
      </c>
      <c r="C29" s="3" t="s">
        <v>16</v>
      </c>
      <c r="D29" s="3" t="s">
        <v>21</v>
      </c>
      <c r="E29" s="2">
        <v>27</v>
      </c>
      <c r="F29" s="2">
        <v>8</v>
      </c>
      <c r="G29" s="4">
        <v>45567</v>
      </c>
      <c r="I29" s="44">
        <f t="shared" si="0"/>
        <v>216</v>
      </c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</row>
    <row r="30" spans="1:23" ht="14.4" x14ac:dyDescent="0.3">
      <c r="A30" s="2">
        <v>1029</v>
      </c>
      <c r="B30" s="3" t="s">
        <v>56</v>
      </c>
      <c r="C30" s="3" t="s">
        <v>7</v>
      </c>
      <c r="D30" s="3" t="s">
        <v>8</v>
      </c>
      <c r="E30" s="2">
        <v>13</v>
      </c>
      <c r="F30" s="2">
        <v>50</v>
      </c>
      <c r="G30" s="4">
        <v>45628</v>
      </c>
      <c r="I30" s="44">
        <f t="shared" si="0"/>
        <v>650</v>
      </c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</row>
    <row r="31" spans="1:23" ht="14.4" x14ac:dyDescent="0.3">
      <c r="A31" s="2">
        <v>1030</v>
      </c>
      <c r="B31" s="3" t="s">
        <v>57</v>
      </c>
      <c r="C31" s="3" t="s">
        <v>10</v>
      </c>
      <c r="D31" s="3" t="s">
        <v>11</v>
      </c>
      <c r="E31" s="2">
        <v>32</v>
      </c>
      <c r="F31" s="2">
        <v>10</v>
      </c>
      <c r="G31" s="2" t="s">
        <v>58</v>
      </c>
      <c r="I31" s="44">
        <f t="shared" si="0"/>
        <v>320</v>
      </c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</row>
    <row r="32" spans="1:23" ht="14.4" x14ac:dyDescent="0.3">
      <c r="A32" s="2">
        <v>1031</v>
      </c>
      <c r="B32" s="3" t="s">
        <v>59</v>
      </c>
      <c r="C32" s="3" t="s">
        <v>13</v>
      </c>
      <c r="D32" s="3" t="s">
        <v>14</v>
      </c>
      <c r="E32" s="2">
        <v>10</v>
      </c>
      <c r="F32" s="2">
        <v>25</v>
      </c>
      <c r="G32" s="2" t="s">
        <v>60</v>
      </c>
      <c r="I32" s="44">
        <f t="shared" si="0"/>
        <v>250</v>
      </c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</row>
    <row r="33" spans="1:23" ht="14.4" x14ac:dyDescent="0.3">
      <c r="A33" s="2">
        <v>1032</v>
      </c>
      <c r="B33" s="3" t="s">
        <v>61</v>
      </c>
      <c r="C33" s="3" t="s">
        <v>16</v>
      </c>
      <c r="D33" s="3" t="s">
        <v>18</v>
      </c>
      <c r="E33" s="2">
        <v>18</v>
      </c>
      <c r="F33" s="2">
        <v>5</v>
      </c>
      <c r="G33" s="2" t="s">
        <v>62</v>
      </c>
      <c r="I33" s="44">
        <f t="shared" si="0"/>
        <v>90</v>
      </c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</row>
    <row r="34" spans="1:23" ht="14.4" x14ac:dyDescent="0.3">
      <c r="A34" s="2">
        <v>1033</v>
      </c>
      <c r="B34" s="3" t="s">
        <v>63</v>
      </c>
      <c r="C34" s="3" t="s">
        <v>7</v>
      </c>
      <c r="D34" s="3" t="s">
        <v>21</v>
      </c>
      <c r="E34" s="2">
        <v>22</v>
      </c>
      <c r="F34" s="2">
        <v>8</v>
      </c>
      <c r="G34" s="2" t="s">
        <v>64</v>
      </c>
      <c r="I34" s="44">
        <f t="shared" ref="I34:I51" si="1">PRODUCT(E34:F34)</f>
        <v>176</v>
      </c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</row>
    <row r="35" spans="1:23" ht="14.4" x14ac:dyDescent="0.3">
      <c r="A35" s="2">
        <v>1034</v>
      </c>
      <c r="B35" s="3" t="s">
        <v>65</v>
      </c>
      <c r="C35" s="3" t="s">
        <v>10</v>
      </c>
      <c r="D35" s="3" t="s">
        <v>8</v>
      </c>
      <c r="E35" s="2">
        <v>17</v>
      </c>
      <c r="F35" s="2">
        <v>50</v>
      </c>
      <c r="G35" s="2" t="s">
        <v>66</v>
      </c>
      <c r="I35" s="44">
        <f t="shared" si="1"/>
        <v>850</v>
      </c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</row>
    <row r="36" spans="1:23" ht="14.4" x14ac:dyDescent="0.3">
      <c r="A36" s="2">
        <v>1035</v>
      </c>
      <c r="B36" s="3" t="s">
        <v>67</v>
      </c>
      <c r="C36" s="3" t="s">
        <v>13</v>
      </c>
      <c r="D36" s="3" t="s">
        <v>11</v>
      </c>
      <c r="E36" s="2">
        <v>19</v>
      </c>
      <c r="F36" s="2">
        <v>10</v>
      </c>
      <c r="G36" s="2" t="s">
        <v>68</v>
      </c>
      <c r="I36" s="44">
        <f t="shared" si="1"/>
        <v>190</v>
      </c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</row>
    <row r="37" spans="1:23" ht="14.4" x14ac:dyDescent="0.3">
      <c r="A37" s="2">
        <v>1036</v>
      </c>
      <c r="B37" s="3" t="s">
        <v>69</v>
      </c>
      <c r="C37" s="3" t="s">
        <v>16</v>
      </c>
      <c r="D37" s="3" t="s">
        <v>14</v>
      </c>
      <c r="E37" s="2">
        <v>15</v>
      </c>
      <c r="F37" s="2">
        <v>25</v>
      </c>
      <c r="G37" s="2" t="s">
        <v>70</v>
      </c>
      <c r="I37" s="44">
        <f t="shared" si="1"/>
        <v>375</v>
      </c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</row>
    <row r="38" spans="1:23" ht="14.4" x14ac:dyDescent="0.3">
      <c r="A38" s="2">
        <v>1037</v>
      </c>
      <c r="B38" s="3" t="s">
        <v>71</v>
      </c>
      <c r="C38" s="3" t="s">
        <v>7</v>
      </c>
      <c r="D38" s="3" t="s">
        <v>18</v>
      </c>
      <c r="E38" s="2">
        <v>28</v>
      </c>
      <c r="F38" s="2">
        <v>5</v>
      </c>
      <c r="G38" s="2" t="s">
        <v>72</v>
      </c>
      <c r="I38" s="44">
        <f t="shared" si="1"/>
        <v>140</v>
      </c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</row>
    <row r="39" spans="1:23" ht="14.4" x14ac:dyDescent="0.3">
      <c r="A39" s="2">
        <v>1038</v>
      </c>
      <c r="B39" s="3" t="s">
        <v>73</v>
      </c>
      <c r="C39" s="3" t="s">
        <v>10</v>
      </c>
      <c r="D39" s="3" t="s">
        <v>21</v>
      </c>
      <c r="E39" s="2">
        <v>24</v>
      </c>
      <c r="F39" s="2">
        <v>8</v>
      </c>
      <c r="G39" s="2" t="s">
        <v>74</v>
      </c>
      <c r="I39" s="44">
        <f t="shared" si="1"/>
        <v>192</v>
      </c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</row>
    <row r="40" spans="1:23" ht="14.4" x14ac:dyDescent="0.3">
      <c r="A40" s="2">
        <v>1039</v>
      </c>
      <c r="B40" s="3" t="s">
        <v>75</v>
      </c>
      <c r="C40" s="3" t="s">
        <v>13</v>
      </c>
      <c r="D40" s="3" t="s">
        <v>8</v>
      </c>
      <c r="E40" s="2">
        <v>16</v>
      </c>
      <c r="F40" s="2">
        <v>50</v>
      </c>
      <c r="G40" s="2" t="s">
        <v>76</v>
      </c>
      <c r="I40" s="44">
        <f t="shared" si="1"/>
        <v>800</v>
      </c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</row>
    <row r="41" spans="1:23" ht="14.4" x14ac:dyDescent="0.3">
      <c r="A41" s="2">
        <v>1040</v>
      </c>
      <c r="B41" s="3" t="s">
        <v>77</v>
      </c>
      <c r="C41" s="3" t="s">
        <v>16</v>
      </c>
      <c r="D41" s="3" t="s">
        <v>11</v>
      </c>
      <c r="E41" s="2">
        <v>27</v>
      </c>
      <c r="F41" s="2">
        <v>10</v>
      </c>
      <c r="G41" s="2" t="s">
        <v>78</v>
      </c>
      <c r="I41" s="44">
        <f t="shared" si="1"/>
        <v>270</v>
      </c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</row>
    <row r="42" spans="1:23" ht="14.4" x14ac:dyDescent="0.3">
      <c r="A42" s="2">
        <v>1041</v>
      </c>
      <c r="B42" s="3" t="s">
        <v>79</v>
      </c>
      <c r="C42" s="3" t="s">
        <v>7</v>
      </c>
      <c r="D42" s="3" t="s">
        <v>14</v>
      </c>
      <c r="E42" s="2">
        <v>21</v>
      </c>
      <c r="F42" s="2">
        <v>25</v>
      </c>
      <c r="G42" s="2" t="s">
        <v>80</v>
      </c>
      <c r="I42" s="44">
        <f t="shared" si="1"/>
        <v>525</v>
      </c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</row>
    <row r="43" spans="1:23" ht="14.4" x14ac:dyDescent="0.3">
      <c r="A43" s="2">
        <v>1042</v>
      </c>
      <c r="B43" s="3" t="s">
        <v>81</v>
      </c>
      <c r="C43" s="3" t="s">
        <v>10</v>
      </c>
      <c r="D43" s="3" t="s">
        <v>18</v>
      </c>
      <c r="E43" s="2">
        <v>30</v>
      </c>
      <c r="F43" s="2">
        <v>5</v>
      </c>
      <c r="G43" s="2" t="s">
        <v>82</v>
      </c>
      <c r="I43" s="44">
        <f t="shared" si="1"/>
        <v>150</v>
      </c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</row>
    <row r="44" spans="1:23" ht="14.4" x14ac:dyDescent="0.3">
      <c r="A44" s="2">
        <v>1043</v>
      </c>
      <c r="B44" s="3" t="s">
        <v>83</v>
      </c>
      <c r="C44" s="3" t="s">
        <v>13</v>
      </c>
      <c r="D44" s="3" t="s">
        <v>21</v>
      </c>
      <c r="E44" s="2">
        <v>26</v>
      </c>
      <c r="F44" s="2">
        <v>8</v>
      </c>
      <c r="G44" s="4">
        <v>45294</v>
      </c>
      <c r="I44" s="44">
        <f t="shared" si="1"/>
        <v>208</v>
      </c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</row>
    <row r="45" spans="1:23" ht="14.4" x14ac:dyDescent="0.3">
      <c r="A45" s="2">
        <v>1044</v>
      </c>
      <c r="B45" s="3" t="s">
        <v>84</v>
      </c>
      <c r="C45" s="3" t="s">
        <v>16</v>
      </c>
      <c r="D45" s="3" t="s">
        <v>8</v>
      </c>
      <c r="E45" s="2">
        <v>14</v>
      </c>
      <c r="F45" s="2">
        <v>50</v>
      </c>
      <c r="G45" s="4">
        <v>45325</v>
      </c>
      <c r="I45" s="44">
        <f t="shared" si="1"/>
        <v>700</v>
      </c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</row>
    <row r="46" spans="1:23" ht="14.4" x14ac:dyDescent="0.3">
      <c r="A46" s="2">
        <v>1045</v>
      </c>
      <c r="B46" s="3" t="s">
        <v>85</v>
      </c>
      <c r="C46" s="3" t="s">
        <v>7</v>
      </c>
      <c r="D46" s="3" t="s">
        <v>11</v>
      </c>
      <c r="E46" s="2">
        <v>20</v>
      </c>
      <c r="F46" s="2">
        <v>10</v>
      </c>
      <c r="G46" s="4">
        <v>45354</v>
      </c>
      <c r="I46" s="44">
        <f t="shared" si="1"/>
        <v>200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</row>
    <row r="47" spans="1:23" ht="14.4" x14ac:dyDescent="0.3">
      <c r="A47" s="2">
        <v>1046</v>
      </c>
      <c r="B47" s="3" t="s">
        <v>86</v>
      </c>
      <c r="C47" s="3" t="s">
        <v>10</v>
      </c>
      <c r="D47" s="3" t="s">
        <v>14</v>
      </c>
      <c r="E47" s="2">
        <v>17</v>
      </c>
      <c r="F47" s="2">
        <v>25</v>
      </c>
      <c r="G47" s="4">
        <v>45385</v>
      </c>
      <c r="I47" s="44">
        <f t="shared" si="1"/>
        <v>425</v>
      </c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</row>
    <row r="48" spans="1:23" ht="14.4" x14ac:dyDescent="0.3">
      <c r="A48" s="2">
        <v>1047</v>
      </c>
      <c r="B48" s="3" t="s">
        <v>87</v>
      </c>
      <c r="C48" s="3" t="s">
        <v>13</v>
      </c>
      <c r="D48" s="3" t="s">
        <v>18</v>
      </c>
      <c r="E48" s="2">
        <v>19</v>
      </c>
      <c r="F48" s="2">
        <v>5</v>
      </c>
      <c r="G48" s="4">
        <v>45415</v>
      </c>
      <c r="I48" s="44">
        <f t="shared" si="1"/>
        <v>95</v>
      </c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</row>
    <row r="49" spans="1:23" ht="14.4" x14ac:dyDescent="0.3">
      <c r="A49" s="2">
        <v>1048</v>
      </c>
      <c r="B49" s="3" t="s">
        <v>88</v>
      </c>
      <c r="C49" s="3" t="s">
        <v>16</v>
      </c>
      <c r="D49" s="3" t="s">
        <v>21</v>
      </c>
      <c r="E49" s="2">
        <v>32</v>
      </c>
      <c r="F49" s="2">
        <v>8</v>
      </c>
      <c r="G49" s="4">
        <v>45446</v>
      </c>
      <c r="I49" s="44">
        <f t="shared" si="1"/>
        <v>256</v>
      </c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</row>
    <row r="50" spans="1:23" ht="14.4" x14ac:dyDescent="0.3">
      <c r="A50" s="2">
        <v>1049</v>
      </c>
      <c r="B50" s="3" t="s">
        <v>89</v>
      </c>
      <c r="C50" s="3" t="s">
        <v>7</v>
      </c>
      <c r="D50" s="3" t="s">
        <v>8</v>
      </c>
      <c r="E50" s="2">
        <v>12</v>
      </c>
      <c r="F50" s="2">
        <v>50</v>
      </c>
      <c r="G50" s="4">
        <v>45476</v>
      </c>
      <c r="I50" s="44">
        <f t="shared" si="1"/>
        <v>600</v>
      </c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</row>
    <row r="51" spans="1:23" ht="14.4" x14ac:dyDescent="0.3">
      <c r="A51" s="2">
        <v>1050</v>
      </c>
      <c r="B51" s="3" t="s">
        <v>90</v>
      </c>
      <c r="C51" s="3" t="s">
        <v>10</v>
      </c>
      <c r="D51" s="3" t="s">
        <v>11</v>
      </c>
      <c r="E51" s="2">
        <v>25</v>
      </c>
      <c r="F51" s="2">
        <v>10</v>
      </c>
      <c r="G51" s="4">
        <v>45507</v>
      </c>
      <c r="I51" s="44">
        <f t="shared" si="1"/>
        <v>250</v>
      </c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</row>
    <row r="52" spans="1:23" x14ac:dyDescent="0.25"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</row>
    <row r="53" spans="1:23" x14ac:dyDescent="0.25"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9689CBB3-4057-49FF-BE3E-7EFCD629E0A0}">
          <x14:colorSeries theme="3" tint="0.499984740745262"/>
          <x14:colorNegative theme="1" tint="0.249977111117893"/>
          <x14:colorAxis rgb="FF000000"/>
          <x14:colorMarkers theme="1" tint="0.249977111117893"/>
          <x14:colorFirst theme="1" tint="0.249977111117893"/>
          <x14:colorLast theme="1" tint="0.249977111117893"/>
          <x14:colorHigh theme="1" tint="0.249977111117893"/>
          <x14:colorLow theme="1" tint="0.249977111117893"/>
          <x14:sparklines>
            <x14:sparkline>
              <xm:f>'Q8 ans'!D1:D51</xm:f>
              <xm:sqref>E1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 ans</vt:lpstr>
      <vt:lpstr>Q2 ans</vt:lpstr>
      <vt:lpstr>Q3 ans </vt:lpstr>
      <vt:lpstr>Q4 Answ</vt:lpstr>
      <vt:lpstr>Q5 ans</vt:lpstr>
      <vt:lpstr>Q6 ans</vt:lpstr>
      <vt:lpstr>Q7 answ</vt:lpstr>
      <vt:lpstr>Q8 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Ranjeet mehta</dc:creator>
  <cp:lastModifiedBy>Ranjeet Kumar</cp:lastModifiedBy>
  <cp:lastPrinted>2026-01-09T06:42:14Z</cp:lastPrinted>
  <dcterms:modified xsi:type="dcterms:W3CDTF">2026-01-11T15:14:02Z</dcterms:modified>
</cp:coreProperties>
</file>